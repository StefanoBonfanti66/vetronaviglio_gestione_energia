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1"/>
  </bookViews>
  <sheets>
    <sheet name="Consolidato" sheetId="1" state="visible" r:id="rId3"/>
    <sheet name="ASS1" sheetId="2" state="visible" r:id="rId4"/>
    <sheet name="F01" sheetId="3" state="visible" r:id="rId5"/>
    <sheet name="F02" sheetId="4" state="visible" r:id="rId6"/>
    <sheet name="F03" sheetId="5" state="visible" r:id="rId7"/>
    <sheet name="F04" sheetId="6" state="visible" r:id="rId8"/>
    <sheet name="F05" sheetId="7" state="visible" r:id="rId9"/>
    <sheet name="F06" sheetId="8" state="visible" r:id="rId10"/>
    <sheet name="F07" sheetId="9" state="visible" r:id="rId11"/>
    <sheet name="F08" sheetId="10" state="visible" r:id="rId12"/>
    <sheet name="F09" sheetId="11" state="visible" r:id="rId13"/>
    <sheet name="F10" sheetId="12" state="visible" r:id="rId14"/>
    <sheet name="F11" sheetId="13" state="visible" r:id="rId15"/>
    <sheet name="ISOLA1" sheetId="14" state="visible" r:id="rId16"/>
    <sheet name="ISOLA5" sheetId="15" state="visible" r:id="rId17"/>
    <sheet name="M1030" sheetId="16" state="visible" r:id="rId18"/>
    <sheet name="MANUA" sheetId="17" state="visible" r:id="rId19"/>
    <sheet name="MG5" sheetId="18" state="visible" r:id="rId20"/>
    <sheet name="MG6" sheetId="19" state="visible" r:id="rId21"/>
    <sheet name="MG7" sheetId="20" state="visible" r:id="rId22"/>
    <sheet name="MG8" sheetId="21" state="visible" r:id="rId23"/>
    <sheet name="MMAN" sheetId="22" state="visible" r:id="rId24"/>
    <sheet name="MP1" sheetId="23" state="visible" r:id="rId25"/>
    <sheet name="MP2" sheetId="24" state="visible" r:id="rId26"/>
    <sheet name="MP3" sheetId="25" state="visible" r:id="rId27"/>
    <sheet name="MP4" sheetId="26" state="visible" r:id="rId28"/>
    <sheet name="SERCAM" sheetId="27" state="visible" r:id="rId29"/>
    <sheet name="TMPM2" sheetId="28" state="visible" r:id="rId30"/>
    <sheet name="TMPMA2" sheetId="29" state="visible" r:id="rId31"/>
    <sheet name="TROV" sheetId="30" state="visible" r:id="rId32"/>
    <sheet name="COMPRESSORI" sheetId="31" state="visible" r:id="rId33"/>
    <sheet name="Tabelle" sheetId="32" state="visible" r:id="rId34"/>
    <sheet name="ICOPOWER" sheetId="33" state="visible" r:id="rId3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<sst xmlns="http://schemas.openxmlformats.org/spreadsheetml/2006/main" count="1930" uniqueCount="109">
  <si>
    <t xml:space="preserve">anno</t>
  </si>
  <si>
    <t xml:space="preserve">mese</t>
  </si>
  <si>
    <t xml:space="preserve">macchina</t>
  </si>
  <si>
    <t xml:space="preserve">ore_produzione</t>
  </si>
  <si>
    <t xml:space="preserve">pezzi_prodotti</t>
  </si>
  <si>
    <t xml:space="preserve">consumo_kwh</t>
  </si>
  <si>
    <t xml:space="preserve">lettura</t>
  </si>
  <si>
    <t xml:space="preserve">costo_energia_per_kwh</t>
  </si>
  <si>
    <t xml:space="preserve">costo_macchina</t>
  </si>
  <si>
    <t xml:space="preserve">consumo_bolletta_kwh</t>
  </si>
  <si>
    <t xml:space="preserve">totale_bolletta</t>
  </si>
  <si>
    <t xml:space="preserve">ASS1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</si>
  <si>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</si>
  <si>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</si>
  <si>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</si>
  <si>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</si>
  <si>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</si>
  <si>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</si>
  <si>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</si>
  <si>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</si>
  <si>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</si>
  <si>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</si>
  <si>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</si>
  <si>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ISOLA1</t>
  </si>
  <si>
    <t xml:space="preserve">ISOLA5</t>
  </si>
  <si>
    <t xml:space="preserve">M1030</t>
  </si>
  <si>
    <t xml:space="preserve">MANUA</t>
  </si>
  <si>
    <t xml:space="preserve">MG5</t>
  </si>
  <si>
    <t xml:space="preserve">MG6</t>
  </si>
  <si>
    <t xml:space="preserve">MG7</t>
  </si>
  <si>
    <t xml:space="preserve">MG8</t>
  </si>
  <si>
    <t xml:space="preserve">MMAN</t>
  </si>
  <si>
    <t xml:space="preserve">MP1</t>
  </si>
  <si>
    <t xml:space="preserve">MP2</t>
  </si>
  <si>
    <t xml:space="preserve">MP3</t>
  </si>
  <si>
    <t xml:space="preserve">MP4</t>
  </si>
  <si>
    <t xml:space="preserve">SERCAM</t>
  </si>
  <si>
    <t xml:space="preserve">TMPM2</t>
  </si>
  <si>
    <t xml:space="preserve">TMPMA2</t>
  </si>
  <si>
    <t xml:space="preserve">TROV</t>
  </si>
  <si>
    <t xml:space="preserve">COMPRESSORI</t>
  </si>
  <si>
    <t xml:space="preserve">anno </t>
  </si>
  <si>
    <t xml:space="preserve">mese </t>
  </si>
  <si>
    <t xml:space="preserve">macchina o impianto</t>
  </si>
  <si>
    <t xml:space="preserve">ore produzione macchina</t>
  </si>
  <si>
    <t xml:space="preserve">pezzi prodotti</t>
  </si>
  <si>
    <t xml:space="preserve">consumo </t>
  </si>
  <si>
    <t xml:space="preserve">lettura </t>
  </si>
  <si>
    <t xml:space="preserve">costo energia</t>
  </si>
  <si>
    <t xml:space="preserve">costo macchina</t>
  </si>
  <si>
    <t xml:space="preserve">consumo da bolletta</t>
  </si>
  <si>
    <t xml:space="preserve">totale bolletta</t>
  </si>
  <si>
    <t xml:space="preserve">F12</t>
  </si>
  <si>
    <t xml:space="preserve">F13</t>
  </si>
  <si>
    <t xml:space="preserve">stima</t>
  </si>
  <si>
    <t xml:space="preserve">ENERGIA VETRONAVIGLIO</t>
  </si>
  <si>
    <t xml:space="preserve">CONSUMO kWh Macchina Vetronaviglio</t>
  </si>
  <si>
    <t xml:space="preserve">M1050</t>
  </si>
  <si>
    <t xml:space="preserve">ASS1 SYCMA</t>
  </si>
  <si>
    <t xml:space="preserve">TMPM2_TMPMI</t>
  </si>
  <si>
    <t xml:space="preserve">TMPMA1</t>
  </si>
  <si>
    <t xml:space="preserve">Ore macchina di lavoro</t>
  </si>
  <si>
    <t xml:space="preserve">Quantità prodotta</t>
  </si>
  <si>
    <t xml:space="preserve">dal 15/11 start ICO</t>
  </si>
  <si>
    <t xml:space="preserve">ENEL Bolletta</t>
  </si>
  <si>
    <t xml:space="preserve">ICOF Rilevato da ICO</t>
  </si>
  <si>
    <t xml:space="preserve">Differenza ENEL ICO</t>
  </si>
  <si>
    <t xml:space="preserve">ICOF - COMPRESSORI</t>
  </si>
  <si>
    <t xml:space="preserve">COSTO MACCHINE</t>
  </si>
  <si>
    <t xml:space="preserve">uffici + pompe +chiller + tutto il resto</t>
  </si>
  <si>
    <t xml:space="preserve">Consumi in kWh</t>
  </si>
  <si>
    <t xml:space="preserve">Totale NOVEMBRE kWh Macchine</t>
  </si>
  <si>
    <t xml:space="preserve">Totale DICEMBRE kWh Macchine</t>
  </si>
  <si>
    <t xml:space="preserve">Totale GENNAIO 25 kWh Macchine</t>
  </si>
  <si>
    <t xml:space="preserve">Totale FEBBRAIO 25 kWh Macchine</t>
  </si>
  <si>
    <t xml:space="preserve">Totale MARZO 25 kWh Macchine</t>
  </si>
  <si>
    <t xml:space="preserve">Totale APRILE 25 kWh Macchine</t>
  </si>
  <si>
    <t xml:space="preserve">Totale MAGGIO 25 kWh Macchine</t>
  </si>
  <si>
    <t xml:space="preserve">Totale GIUGNO 25 kWh Macchine</t>
  </si>
  <si>
    <t xml:space="preserve">Totale LUGLIO 25 kWh Macchine</t>
  </si>
  <si>
    <t xml:space="preserve">Totale AGOSTO 25 kWh Macchine</t>
  </si>
  <si>
    <t xml:space="preserve">Totale SETTEMBRE 25 kWh Macchine</t>
  </si>
  <si>
    <t xml:space="preserve">Totale OTTOBRE 25 kWh Macchine</t>
  </si>
  <si>
    <t xml:space="preserve">Totale NOVEMBRE 25 kWh Macchine</t>
  </si>
  <si>
    <t xml:space="preserve">Totale LUGLIO 26 kWh Macchine</t>
  </si>
  <si>
    <t xml:space="preserve">Lettura rilevata dal pannello compressori</t>
  </si>
  <si>
    <t xml:space="preserve">Lettura in kWh * costo energia bolletta ENEL</t>
  </si>
  <si>
    <t xml:space="preserve">ipotesi stimato</t>
  </si>
  <si>
    <t xml:space="preserve">Consumi kWh * Prezzo unitario energia bolletta ENEL</t>
  </si>
  <si>
    <t xml:space="preserve">Dato letto dalla bolletta ENEL</t>
  </si>
  <si>
    <t xml:space="preserve">Consumi rilevati ENEL kWh</t>
  </si>
  <si>
    <t xml:space="preserve">Costo medio per kWh </t>
  </si>
  <si>
    <t xml:space="preserve">Consumi</t>
  </si>
  <si>
    <t xml:space="preserve">PME QT. kWh</t>
  </si>
  <si>
    <t xml:space="preserve">GG mancanti</t>
  </si>
  <si>
    <t xml:space="preserve">Tot. Consumo</t>
  </si>
  <si>
    <t xml:space="preserve">Tot. Finale (post-setting ICOPOWER) kWh</t>
  </si>
  <si>
    <t xml:space="preserve">nov</t>
  </si>
  <si>
    <t xml:space="preserve">dic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</si>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</sst>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0&quot; €&quot;"/>
    <numFmt numFmtId="166" formatCode="_-* #,##0.00&quot; €&quot;_-;\-* #,##0.00&quot; €&quot;_-;_-* \-??&quot; €&quot;_-;_-@_-"/>
    <numFmt numFmtId="167" formatCode="#,##0.00000&quot; €&quot;"/>
    <numFmt numFmtId="168" formatCode="_-* #,##0.0000&quot; €&quot;_-;\-* #,##0.0000&quot; €&quot;_-;_-* \-??&quot; €&quot;_-;_-@_-"/>
    <numFmt numFmtId="169" formatCode="mmm\-yy"/>
    <numFmt numFmtId="170" formatCode="#,##0.00&quot; €&quot;"/>
    <numFmt numFmtId="171" formatCode="0.0"/>
    <numFmt numFmtId="172" formatCode="_-* #,##0.00_-;\-* #,##0.00_-;_-* \-??_-;_-@_-"/>
    <numFmt numFmtId="173" formatCode="_-* #,##0.0_-;\-* #,##0.0_-;_-* \-??_-;_-@_-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6"/>
      <color theme="1"/>
      <name val="Aptos Narrow"/>
      <family val="2"/>
      <charset val="1"/>
    </font>
    <font>
      <sz val="7"/>
      <color theme="1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rgb="FF156082"/>
      </patternFill>
    </fill>
    <fill>
      <patternFill patternType="solid">
        <fgColor theme="5" tint="0.5999"/>
        <bgColor rgb="FFD9D9D9"/>
      </patternFill>
    </fill>
    <fill>
      <patternFill patternType="solid">
        <fgColor theme="9" tint="0.7999"/>
        <bgColor rgb="FFE8E8E8"/>
      </patternFill>
    </fill>
    <fill>
      <patternFill patternType="solid">
        <fgColor rgb="FFFFC000"/>
        <bgColor rgb="FFFF9900"/>
      </patternFill>
    </fill>
    <fill>
      <patternFill patternType="solid">
        <fgColor theme="4" tint="0.5999"/>
        <bgColor rgb="FF84E291"/>
      </patternFill>
    </fill>
    <fill>
      <patternFill patternType="solid">
        <fgColor theme="0"/>
        <bgColor rgb="FFE8E8E8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rgb="FFFF8080"/>
      </patternFill>
    </fill>
    <fill>
      <patternFill patternType="solid">
        <fgColor theme="3" tint="0.4999"/>
        <bgColor rgb="FF3366FF"/>
      </patternFill>
    </fill>
    <fill>
      <patternFill patternType="solid">
        <fgColor theme="6" tint="0.5999"/>
        <bgColor rgb="FF83CBEB"/>
      </patternFill>
    </fill>
    <fill>
      <patternFill patternType="solid">
        <fgColor theme="6" tint="0.3999"/>
        <bgColor rgb="FF84E291"/>
      </patternFill>
    </fill>
    <fill>
      <patternFill patternType="solid">
        <fgColor theme="2"/>
        <bgColor rgb="FFD9F2D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1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3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1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8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8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9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84E291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83CBEB"/>
      <rgbColor rgb="FFFF99CC"/>
      <rgbColor rgb="FFCC99FF"/>
      <rgbColor rgb="FFF6C6AD"/>
      <rgbColor rgb="FF3366FF"/>
      <rgbColor rgb="FF47D45A"/>
      <rgbColor rgb="FF99CC00"/>
      <rgbColor rgb="FFFFC000"/>
      <rgbColor rgb="FFFF9900"/>
      <rgbColor rgb="FFE97132"/>
      <rgbColor rgb="FF59595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Andamento</a:t>
            </a:r>
            <a:r>
              <a:rPr lang="it-IT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 annuale c</a:t>
            </a:r>
            <a:r>
              <a:rPr lang="it-IT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osto</a:t>
            </a:r>
            <a:r>
              <a:rPr lang="it-IT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 medio kWh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075052606968"/>
          <c:y val="0.194839046005474"/>
          <c:w val="0.828423349699946"/>
          <c:h val="0.670337547243581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Tabelle!$D$123:$D$133</c:f>
              <c:numCache>
                <c:formatCode>mmm\-yy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Tabelle!$E$121:$E$131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Tabelle!$D$123:$D$133</c:f>
              <c:numCache>
                <c:formatCode>mmm\-yy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Tabelle!$F$121:$F$131</c:f>
              <c:numCache>
                <c:formatCode>#,##0.0000" €"</c:formatCode>
                <c:ptCount val="11"/>
                <c:pt idx="0">
                  <c:v>0.307</c:v>
                </c:pt>
                <c:pt idx="1">
                  <c:v>0.331</c:v>
                </c:pt>
                <c:pt idx="2">
                  <c:v>0.335</c:v>
                </c:pt>
                <c:pt idx="3">
                  <c:v>0.334</c:v>
                </c:pt>
                <c:pt idx="4">
                  <c:v>0.286</c:v>
                </c:pt>
                <c:pt idx="5">
                  <c:v>0.2655</c:v>
                </c:pt>
                <c:pt idx="6">
                  <c:v>0.2575</c:v>
                </c:pt>
                <c:pt idx="7">
                  <c:v>0.355</c:v>
                </c:pt>
                <c:pt idx="8">
                  <c:v>0.296</c:v>
                </c:pt>
                <c:pt idx="9">
                  <c:v>0.3268</c:v>
                </c:pt>
                <c:pt idx="10">
                  <c:v>0.2732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480651"/>
        <c:axId val="37900865"/>
      </c:lineChart>
      <c:dateAx>
        <c:axId val="6648065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7900865"/>
        <c:crosses val="autoZero"/>
        <c:auto val="1"/>
        <c:lblOffset val="100"/>
        <c:baseTimeUnit val="months"/>
      </c:dateAx>
      <c:valAx>
        <c:axId val="3790086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64806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Andamento annuale spesa energia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Tabelle!$A$123:$A$133</c:f>
              <c:numCache>
                <c:formatCode>mmm\-yy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Tabelle!$B$121:$B$131</c:f>
              <c:numCache>
                <c:formatCode>General</c:formatCode>
                <c:ptCount val="11"/>
                <c:pt idx="0">
                  <c:v>64157</c:v>
                </c:pt>
                <c:pt idx="1">
                  <c:v>51593</c:v>
                </c:pt>
                <c:pt idx="2">
                  <c:v>61904</c:v>
                </c:pt>
                <c:pt idx="3">
                  <c:v>60366</c:v>
                </c:pt>
                <c:pt idx="4">
                  <c:v>58209</c:v>
                </c:pt>
                <c:pt idx="5">
                  <c:v>41269</c:v>
                </c:pt>
                <c:pt idx="6">
                  <c:v>30809</c:v>
                </c:pt>
                <c:pt idx="7">
                  <c:v>33644</c:v>
                </c:pt>
                <c:pt idx="8">
                  <c:v>51483</c:v>
                </c:pt>
                <c:pt idx="9">
                  <c:v>17650</c:v>
                </c:pt>
                <c:pt idx="10">
                  <c:v>47214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388180"/>
        <c:axId val="38675972"/>
      </c:lineChart>
      <c:dateAx>
        <c:axId val="7038818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8675972"/>
        <c:crosses val="autoZero"/>
        <c:auto val="1"/>
        <c:lblOffset val="100"/>
        <c:baseTimeUnit val="months"/>
      </c:dateAx>
      <c:valAx>
        <c:axId val="3867597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03881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471600</xdr:colOff>
      <xdr:row>66</xdr:row>
      <xdr:rowOff>142920</xdr:rowOff>
    </xdr:from>
    <xdr:to>
      <xdr:col>18</xdr:col>
      <xdr:colOff>420840</xdr:colOff>
      <xdr:row>97</xdr:row>
      <xdr:rowOff>56880</xdr:rowOff>
    </xdr:to>
    <xdr:graphicFrame>
      <xdr:nvGraphicFramePr>
        <xdr:cNvPr id="1" name="Chart 1"/>
        <xdr:cNvGraphicFramePr/>
      </xdr:nvGraphicFramePr>
      <xdr:xfrm>
        <a:off x="8679600" y="12268080"/>
        <a:ext cx="9237960" cy="55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100</xdr:row>
      <xdr:rowOff>0</xdr:rowOff>
    </xdr:from>
    <xdr:to>
      <xdr:col>19</xdr:col>
      <xdr:colOff>633960</xdr:colOff>
      <xdr:row>130</xdr:row>
      <xdr:rowOff>95040</xdr:rowOff>
    </xdr:to>
    <xdr:graphicFrame>
      <xdr:nvGraphicFramePr>
        <xdr:cNvPr id="2" name="Chart 2"/>
        <xdr:cNvGraphicFramePr/>
      </xdr:nvGraphicFramePr>
      <xdr:xfrm>
        <a:off x="8712720" y="18278640"/>
        <a:ext cx="10240920" cy="55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324000</xdr:colOff>
      <xdr:row>2</xdr:row>
      <xdr:rowOff>173160</xdr:rowOff>
    </xdr:from>
    <xdr:to>
      <xdr:col>20</xdr:col>
      <xdr:colOff>79920</xdr:colOff>
      <xdr:row>19</xdr:row>
      <xdr:rowOff>38520</xdr:rowOff>
    </xdr:to>
    <xdr:pic>
      <xdr:nvPicPr>
        <xdr:cNvPr id="3" name="Immagine 1"/>
        <xdr:cNvPicPr/>
      </xdr:nvPicPr>
      <xdr:blipFill>
        <a:blip r:embed="rId1"/>
        <a:stretch/>
      </xdr:blipFill>
      <xdr:spPr>
        <a:xfrm>
          <a:off x="5442840" y="573120"/>
          <a:ext cx="9383760" cy="3199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1"/>
  <sheetViews>
    <sheetView showFormulas="false" showGridLines="true" showRowColHeaders="true" showZeros="true" rightToLeft="false" tabSelected="false" showOutlineSymbols="true" defaultGridColor="true" view="normal" topLeftCell="A72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9" style="0" width="19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2024</v>
      </c>
      <c r="B2" s="0" t="n">
        <v>1</v>
      </c>
      <c r="C2" s="0" t="s">
        <v>11</v>
      </c>
      <c r="D2" s="0" t="n">
        <v>151.33</v>
      </c>
      <c r="E2" s="0" t="n">
        <v>127305</v>
      </c>
      <c r="H2" s="0" t="n">
        <v>0.2557</v>
      </c>
      <c r="J2" s="0" t="n">
        <v>64934</v>
      </c>
      <c r="K2" s="0" t="n">
        <v>16601.39</v>
      </c>
    </row>
    <row r="3" customFormat="false" ht="15" hidden="false" customHeight="false" outlineLevel="0" collapsed="false">
      <c r="A3" s="0" t="n">
        <v>2024</v>
      </c>
      <c r="B3" s="0" t="n">
        <v>2</v>
      </c>
      <c r="C3" s="0" t="s">
        <v>11</v>
      </c>
      <c r="D3" s="0" t="n">
        <v>130.12</v>
      </c>
      <c r="E3" s="0" t="n">
        <v>117666</v>
      </c>
      <c r="H3" s="0" t="n">
        <v>0.2378</v>
      </c>
      <c r="J3" s="0" t="n">
        <v>71197</v>
      </c>
      <c r="K3" s="0" t="n">
        <v>16934</v>
      </c>
    </row>
    <row r="4" customFormat="false" ht="15" hidden="false" customHeight="false" outlineLevel="0" collapsed="false">
      <c r="A4" s="0" t="n">
        <v>2024</v>
      </c>
      <c r="B4" s="0" t="n">
        <v>3</v>
      </c>
      <c r="C4" s="0" t="s">
        <v>11</v>
      </c>
      <c r="D4" s="0" t="n">
        <v>80.25</v>
      </c>
      <c r="E4" s="0" t="n">
        <v>54604</v>
      </c>
      <c r="H4" s="0" t="n">
        <v>0.2428</v>
      </c>
      <c r="J4" s="0" t="n">
        <v>51152</v>
      </c>
      <c r="K4" s="0" t="n">
        <v>12419.74</v>
      </c>
    </row>
    <row r="5" customFormat="false" ht="15" hidden="false" customHeight="false" outlineLevel="0" collapsed="false">
      <c r="A5" s="0" t="n">
        <v>2024</v>
      </c>
      <c r="B5" s="0" t="n">
        <v>4</v>
      </c>
      <c r="C5" s="0" t="s">
        <v>11</v>
      </c>
      <c r="D5" s="0" t="n">
        <v>81.52</v>
      </c>
      <c r="E5" s="0" t="n">
        <v>59880</v>
      </c>
      <c r="H5" s="0" t="n">
        <v>0.2416</v>
      </c>
      <c r="J5" s="0" t="n">
        <v>45316</v>
      </c>
      <c r="K5" s="0" t="n">
        <v>10948.47</v>
      </c>
    </row>
    <row r="6" customFormat="false" ht="15" hidden="false" customHeight="false" outlineLevel="0" collapsed="false">
      <c r="A6" s="0" t="n">
        <v>2024</v>
      </c>
      <c r="B6" s="0" t="n">
        <v>5</v>
      </c>
      <c r="C6" s="0" t="s">
        <v>11</v>
      </c>
      <c r="D6" s="0" t="n">
        <v>124.43</v>
      </c>
      <c r="E6" s="0" t="n">
        <v>86479</v>
      </c>
      <c r="H6" s="0" t="n">
        <v>0.2507</v>
      </c>
      <c r="J6" s="0" t="n">
        <v>51330</v>
      </c>
      <c r="K6" s="0" t="n">
        <v>12868.58</v>
      </c>
    </row>
    <row r="7" customFormat="false" ht="15" hidden="false" customHeight="false" outlineLevel="0" collapsed="false">
      <c r="A7" s="0" t="n">
        <v>2024</v>
      </c>
      <c r="B7" s="0" t="n">
        <v>6</v>
      </c>
      <c r="C7" s="0" t="s">
        <v>11</v>
      </c>
      <c r="D7" s="0" t="n">
        <v>91.02</v>
      </c>
      <c r="E7" s="0" t="n">
        <v>76618</v>
      </c>
      <c r="H7" s="0" t="n">
        <v>0.2722</v>
      </c>
      <c r="J7" s="0" t="n">
        <v>42151</v>
      </c>
      <c r="K7" s="0" t="n">
        <v>11473.9</v>
      </c>
    </row>
    <row r="8" customFormat="false" ht="15" hidden="false" customHeight="false" outlineLevel="0" collapsed="false">
      <c r="A8" s="0" t="n">
        <v>2024</v>
      </c>
      <c r="B8" s="0" t="n">
        <v>7</v>
      </c>
      <c r="C8" s="0" t="s">
        <v>11</v>
      </c>
      <c r="D8" s="0" t="n">
        <v>88.15</v>
      </c>
      <c r="E8" s="0" t="n">
        <v>60539</v>
      </c>
      <c r="H8" s="0" t="n">
        <v>0.287</v>
      </c>
      <c r="J8" s="0" t="n">
        <v>67581</v>
      </c>
      <c r="K8" s="0" t="n">
        <v>19396.73</v>
      </c>
    </row>
    <row r="9" customFormat="false" ht="15" hidden="false" customHeight="false" outlineLevel="0" collapsed="false">
      <c r="A9" s="0" t="n">
        <v>2024</v>
      </c>
      <c r="B9" s="0" t="n">
        <v>8</v>
      </c>
      <c r="C9" s="0" t="s">
        <v>11</v>
      </c>
      <c r="D9" s="0" t="n">
        <v>30.53</v>
      </c>
      <c r="E9" s="0" t="n">
        <v>20210</v>
      </c>
      <c r="H9" s="0" t="n">
        <v>0.3047</v>
      </c>
      <c r="J9" s="0" t="n">
        <v>44796</v>
      </c>
      <c r="K9" s="0" t="n">
        <v>13651.04</v>
      </c>
    </row>
    <row r="10" customFormat="false" ht="15" hidden="false" customHeight="false" outlineLevel="0" collapsed="false">
      <c r="A10" s="0" t="n">
        <v>2024</v>
      </c>
      <c r="B10" s="0" t="n">
        <v>9</v>
      </c>
      <c r="C10" s="0" t="s">
        <v>11</v>
      </c>
      <c r="D10" s="0" t="n">
        <v>69.32</v>
      </c>
      <c r="E10" s="0" t="n">
        <v>50341</v>
      </c>
      <c r="H10" s="0" t="n">
        <v>0.2904</v>
      </c>
      <c r="J10" s="0" t="n">
        <v>52599</v>
      </c>
      <c r="K10" s="0" t="n">
        <v>15277.15</v>
      </c>
    </row>
    <row r="11" customFormat="false" ht="15" hidden="false" customHeight="false" outlineLevel="0" collapsed="false">
      <c r="A11" s="0" t="n">
        <v>2024</v>
      </c>
      <c r="B11" s="0" t="n">
        <v>10</v>
      </c>
      <c r="C11" s="0" t="s">
        <v>11</v>
      </c>
      <c r="D11" s="0" t="n">
        <v>93.7</v>
      </c>
      <c r="E11" s="0" t="n">
        <v>68387</v>
      </c>
      <c r="H11" s="0" t="n">
        <v>0.2856</v>
      </c>
      <c r="J11" s="0" t="n">
        <v>54362</v>
      </c>
      <c r="K11" s="0" t="n">
        <v>15523.99</v>
      </c>
    </row>
    <row r="12" customFormat="false" ht="15" hidden="false" customHeight="false" outlineLevel="0" collapsed="false">
      <c r="A12" s="0" t="n">
        <v>2024</v>
      </c>
      <c r="B12" s="0" t="n">
        <v>11</v>
      </c>
      <c r="C12" s="0" t="s">
        <v>11</v>
      </c>
      <c r="D12" s="0" t="n">
        <v>130.2</v>
      </c>
      <c r="E12" s="0" t="n">
        <v>86845</v>
      </c>
      <c r="F12" s="0" t="n">
        <v>66.33</v>
      </c>
      <c r="H12" s="0" t="n">
        <v>0.307</v>
      </c>
      <c r="I12" s="0" t="n">
        <v>20.36331</v>
      </c>
      <c r="J12" s="0" t="n">
        <v>64157</v>
      </c>
      <c r="K12" s="0" t="n">
        <v>19751.41</v>
      </c>
    </row>
    <row r="13" customFormat="false" ht="15" hidden="false" customHeight="false" outlineLevel="0" collapsed="false">
      <c r="A13" s="0" t="n">
        <v>2024</v>
      </c>
      <c r="B13" s="0" t="n">
        <v>12</v>
      </c>
      <c r="C13" s="0" t="s">
        <v>11</v>
      </c>
      <c r="D13" s="0" t="n">
        <v>70.15</v>
      </c>
      <c r="E13" s="0" t="n">
        <v>37100</v>
      </c>
      <c r="F13" s="0" t="n">
        <v>38.64</v>
      </c>
      <c r="H13" s="0" t="n">
        <v>0.331</v>
      </c>
      <c r="I13" s="0" t="n">
        <v>12.78984</v>
      </c>
      <c r="J13" s="0" t="n">
        <v>51593</v>
      </c>
      <c r="K13" s="0" t="n">
        <v>17063.94</v>
      </c>
    </row>
    <row r="14" customFormat="false" ht="15" hidden="false" customHeight="false" outlineLevel="0" collapsed="false">
      <c r="A14" s="0" t="n">
        <v>2025</v>
      </c>
      <c r="B14" s="0" t="n">
        <v>1</v>
      </c>
      <c r="C14" s="0" t="s">
        <v>11</v>
      </c>
      <c r="D14" s="0" t="n">
        <v>182.2</v>
      </c>
      <c r="E14" s="0" t="n">
        <v>0</v>
      </c>
      <c r="F14" s="0" t="n">
        <v>55.34</v>
      </c>
      <c r="H14" s="0" t="n">
        <v>0.335</v>
      </c>
      <c r="I14" s="0" t="n">
        <v>18.5389</v>
      </c>
      <c r="J14" s="0" t="n">
        <v>61904</v>
      </c>
      <c r="K14" s="0" t="n">
        <v>20875.39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s">
        <v>11</v>
      </c>
      <c r="D15" s="0" t="n">
        <v>127.5</v>
      </c>
      <c r="E15" s="0" t="n">
        <v>0</v>
      </c>
      <c r="F15" s="0" t="n">
        <v>64.14</v>
      </c>
      <c r="H15" s="0" t="n">
        <v>0.334</v>
      </c>
      <c r="I15" s="0" t="n">
        <v>21.42276</v>
      </c>
      <c r="J15" s="0" t="n">
        <v>60366</v>
      </c>
      <c r="K15" s="0" t="n">
        <v>20173.7</v>
      </c>
    </row>
    <row r="16" customFormat="false" ht="15" hidden="false" customHeight="false" outlineLevel="0" collapsed="false">
      <c r="A16" s="0" t="n">
        <v>2025</v>
      </c>
      <c r="B16" s="0" t="n">
        <v>3</v>
      </c>
      <c r="C16" s="0" t="s">
        <v>11</v>
      </c>
      <c r="D16" s="0" t="n">
        <v>116.1</v>
      </c>
      <c r="E16" s="0" t="n">
        <v>0</v>
      </c>
      <c r="F16" s="0" t="n">
        <v>52.57</v>
      </c>
      <c r="H16" s="0" t="n">
        <v>0.286</v>
      </c>
      <c r="I16" s="0" t="n">
        <v>15.03502</v>
      </c>
      <c r="J16" s="0" t="n">
        <v>58209</v>
      </c>
      <c r="K16" s="0" t="n">
        <v>16648.58</v>
      </c>
    </row>
    <row r="17" customFormat="false" ht="15" hidden="false" customHeight="false" outlineLevel="0" collapsed="false">
      <c r="A17" s="0" t="n">
        <v>2025</v>
      </c>
      <c r="B17" s="0" t="n">
        <v>4</v>
      </c>
      <c r="C17" s="0" t="s">
        <v>11</v>
      </c>
      <c r="D17" s="0" t="n">
        <v>67.9</v>
      </c>
      <c r="E17" s="0" t="n">
        <v>0</v>
      </c>
      <c r="F17" s="0" t="n">
        <v>35.27</v>
      </c>
      <c r="H17" s="0" t="n">
        <v>0.2655</v>
      </c>
      <c r="I17" s="0" t="n">
        <v>9.364185</v>
      </c>
      <c r="J17" s="0" t="n">
        <v>41269</v>
      </c>
      <c r="K17" s="0" t="n">
        <v>10956.7</v>
      </c>
    </row>
    <row r="18" customFormat="false" ht="15" hidden="false" customHeight="false" outlineLevel="0" collapsed="false">
      <c r="A18" s="0" t="n">
        <v>2025</v>
      </c>
      <c r="B18" s="0" t="n">
        <v>5</v>
      </c>
      <c r="C18" s="0" t="s">
        <v>11</v>
      </c>
      <c r="D18" s="0" t="n">
        <v>74.4</v>
      </c>
      <c r="E18" s="0" t="n">
        <v>0</v>
      </c>
      <c r="F18" s="0" t="n">
        <v>36.76</v>
      </c>
      <c r="H18" s="0" t="n">
        <v>0.2575</v>
      </c>
      <c r="I18" s="0" t="n">
        <v>9.4657</v>
      </c>
      <c r="J18" s="0" t="n">
        <v>30809</v>
      </c>
      <c r="K18" s="0" t="n">
        <v>7932.95</v>
      </c>
    </row>
    <row r="19" customFormat="false" ht="15" hidden="false" customHeight="false" outlineLevel="0" collapsed="false">
      <c r="A19" s="0" t="n">
        <v>2025</v>
      </c>
      <c r="B19" s="0" t="n">
        <v>6</v>
      </c>
      <c r="C19" s="0" t="s">
        <v>11</v>
      </c>
      <c r="D19" s="0" t="n">
        <v>35</v>
      </c>
      <c r="E19" s="0" t="n">
        <v>0</v>
      </c>
      <c r="F19" s="0" t="n">
        <v>0</v>
      </c>
      <c r="H19" s="0" t="n">
        <v>0.355</v>
      </c>
      <c r="I19" s="0" t="n">
        <v>0</v>
      </c>
      <c r="J19" s="0" t="n">
        <v>33644</v>
      </c>
      <c r="K19" s="0" t="n">
        <v>11949.42</v>
      </c>
    </row>
    <row r="20" customFormat="false" ht="15" hidden="false" customHeight="false" outlineLevel="0" collapsed="false">
      <c r="A20" s="0" t="n">
        <v>2025</v>
      </c>
      <c r="B20" s="0" t="n">
        <v>7</v>
      </c>
      <c r="C20" s="0" t="s">
        <v>11</v>
      </c>
      <c r="D20" s="0" t="n">
        <v>95.4</v>
      </c>
      <c r="E20" s="0" t="n">
        <v>0</v>
      </c>
      <c r="F20" s="0" t="n">
        <v>0</v>
      </c>
      <c r="H20" s="0" t="n">
        <v>0.296</v>
      </c>
      <c r="I20" s="0" t="n">
        <v>0</v>
      </c>
      <c r="J20" s="0" t="n">
        <v>51483</v>
      </c>
      <c r="K20" s="0" t="n">
        <v>15262.33</v>
      </c>
    </row>
    <row r="21" customFormat="false" ht="15" hidden="false" customHeight="false" outlineLevel="0" collapsed="false">
      <c r="A21" s="0" t="n">
        <v>2025</v>
      </c>
      <c r="B21" s="0" t="n">
        <v>8</v>
      </c>
      <c r="C21" s="0" t="s">
        <v>11</v>
      </c>
      <c r="D21" s="0" t="n">
        <v>6.11</v>
      </c>
      <c r="E21" s="0" t="n">
        <v>5236</v>
      </c>
      <c r="F21" s="0" t="n">
        <v>0</v>
      </c>
      <c r="H21" s="0" t="n">
        <v>0.3268</v>
      </c>
      <c r="I21" s="0" t="n">
        <v>0</v>
      </c>
      <c r="J21" s="0" t="n">
        <v>17650</v>
      </c>
      <c r="K21" s="0" t="n">
        <v>5768.63</v>
      </c>
    </row>
    <row r="22" customFormat="false" ht="15" hidden="false" customHeight="false" outlineLevel="0" collapsed="false">
      <c r="A22" s="0" t="n">
        <v>2025</v>
      </c>
      <c r="B22" s="0" t="n">
        <v>9</v>
      </c>
      <c r="C22" s="0" t="s">
        <v>11</v>
      </c>
      <c r="D22" s="0" t="n">
        <v>128.79</v>
      </c>
      <c r="E22" s="0" t="n">
        <v>96569</v>
      </c>
      <c r="F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n">
        <v>2025</v>
      </c>
      <c r="B23" s="0" t="n">
        <v>10</v>
      </c>
      <c r="C23" s="0" t="s">
        <v>11</v>
      </c>
      <c r="H23" s="0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n">
        <v>2025</v>
      </c>
      <c r="B24" s="0" t="n">
        <v>11</v>
      </c>
      <c r="C24" s="0" t="s">
        <v>11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n">
        <v>2025</v>
      </c>
      <c r="B25" s="0" t="n">
        <v>12</v>
      </c>
      <c r="C25" s="0" t="s">
        <v>11</v>
      </c>
      <c r="H25" s="0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n">
        <v>2024</v>
      </c>
      <c r="B26" s="0" t="n">
        <v>1</v>
      </c>
      <c r="C26" s="0" t="s">
        <v>12</v>
      </c>
      <c r="D26" s="0" t="n">
        <v>171.92</v>
      </c>
      <c r="E26" s="0" t="n">
        <v>143772</v>
      </c>
      <c r="H26" s="0" t="n">
        <v>0.2557</v>
      </c>
      <c r="J26" s="0" t="n">
        <v>64934</v>
      </c>
      <c r="K26" s="0" t="n">
        <v>16601.39</v>
      </c>
    </row>
    <row r="27" customFormat="false" ht="15" hidden="false" customHeight="false" outlineLevel="0" collapsed="false">
      <c r="A27" s="0" t="n">
        <v>2024</v>
      </c>
      <c r="B27" s="0" t="n">
        <v>2</v>
      </c>
      <c r="C27" s="0" t="s">
        <v>12</v>
      </c>
      <c r="D27" s="0" t="n">
        <v>119.51</v>
      </c>
      <c r="E27" s="0" t="n">
        <v>99614</v>
      </c>
      <c r="H27" s="0" t="n">
        <v>0.2378</v>
      </c>
      <c r="J27" s="0" t="n">
        <v>71197</v>
      </c>
      <c r="K27" s="0" t="n">
        <v>16934</v>
      </c>
    </row>
    <row r="28" customFormat="false" ht="15" hidden="false" customHeight="false" outlineLevel="0" collapsed="false">
      <c r="A28" s="0" t="n">
        <v>2024</v>
      </c>
      <c r="B28" s="0" t="n">
        <v>3</v>
      </c>
      <c r="C28" s="0" t="s">
        <v>12</v>
      </c>
      <c r="D28" s="0" t="n">
        <v>41.33</v>
      </c>
      <c r="E28" s="0" t="n">
        <v>30484</v>
      </c>
      <c r="H28" s="0" t="n">
        <v>0.2428</v>
      </c>
      <c r="J28" s="0" t="n">
        <v>51152</v>
      </c>
      <c r="K28" s="0" t="n">
        <v>12419.74</v>
      </c>
    </row>
    <row r="29" customFormat="false" ht="15" hidden="false" customHeight="false" outlineLevel="0" collapsed="false">
      <c r="A29" s="0" t="n">
        <v>2024</v>
      </c>
      <c r="B29" s="0" t="n">
        <v>4</v>
      </c>
      <c r="C29" s="0" t="s">
        <v>12</v>
      </c>
      <c r="D29" s="0" t="n">
        <v>12.44</v>
      </c>
      <c r="E29" s="0" t="n">
        <v>11700</v>
      </c>
      <c r="H29" s="0" t="n">
        <v>0.2416</v>
      </c>
      <c r="J29" s="0" t="n">
        <v>45316</v>
      </c>
      <c r="K29" s="0" t="n">
        <v>10948.47</v>
      </c>
    </row>
    <row r="30" customFormat="false" ht="15" hidden="false" customHeight="false" outlineLevel="0" collapsed="false">
      <c r="A30" s="0" t="n">
        <v>2024</v>
      </c>
      <c r="B30" s="0" t="n">
        <v>5</v>
      </c>
      <c r="C30" s="0" t="s">
        <v>12</v>
      </c>
      <c r="D30" s="0" t="n">
        <v>107.52</v>
      </c>
      <c r="E30" s="0" t="n">
        <v>106500</v>
      </c>
      <c r="H30" s="0" t="n">
        <v>0.2507</v>
      </c>
      <c r="J30" s="0" t="n">
        <v>51330</v>
      </c>
      <c r="K30" s="0" t="n">
        <v>12868.58</v>
      </c>
    </row>
    <row r="31" customFormat="false" ht="15" hidden="false" customHeight="false" outlineLevel="0" collapsed="false">
      <c r="A31" s="0" t="n">
        <v>2024</v>
      </c>
      <c r="B31" s="0" t="n">
        <v>6</v>
      </c>
      <c r="C31" s="0" t="s">
        <v>12</v>
      </c>
      <c r="D31" s="0" t="n">
        <v>90.79</v>
      </c>
      <c r="E31" s="0" t="n">
        <v>36912</v>
      </c>
      <c r="H31" s="0" t="n">
        <v>0.2722</v>
      </c>
      <c r="J31" s="0" t="n">
        <v>42151</v>
      </c>
      <c r="K31" s="0" t="n">
        <v>11473.9</v>
      </c>
    </row>
    <row r="32" customFormat="false" ht="15" hidden="false" customHeight="false" outlineLevel="0" collapsed="false">
      <c r="A32" s="0" t="n">
        <v>2024</v>
      </c>
      <c r="B32" s="0" t="n">
        <v>7</v>
      </c>
      <c r="C32" s="0" t="s">
        <v>12</v>
      </c>
      <c r="D32" s="0" t="n">
        <v>132.66</v>
      </c>
      <c r="E32" s="0" t="n">
        <v>20988</v>
      </c>
      <c r="H32" s="0" t="n">
        <v>0.287</v>
      </c>
      <c r="J32" s="0" t="n">
        <v>67581</v>
      </c>
      <c r="K32" s="0" t="n">
        <v>19396.73</v>
      </c>
    </row>
    <row r="33" customFormat="false" ht="15" hidden="false" customHeight="false" outlineLevel="0" collapsed="false">
      <c r="A33" s="0" t="n">
        <v>2024</v>
      </c>
      <c r="B33" s="0" t="n">
        <v>8</v>
      </c>
      <c r="C33" s="0" t="s">
        <v>12</v>
      </c>
      <c r="D33" s="0" t="n">
        <v>33.49</v>
      </c>
      <c r="E33" s="0" t="n">
        <v>31135</v>
      </c>
      <c r="H33" s="0" t="n">
        <v>0.3047</v>
      </c>
      <c r="J33" s="0" t="n">
        <v>44796</v>
      </c>
      <c r="K33" s="0" t="n">
        <v>13651.04</v>
      </c>
    </row>
    <row r="34" customFormat="false" ht="15" hidden="false" customHeight="false" outlineLevel="0" collapsed="false">
      <c r="A34" s="0" t="n">
        <v>2024</v>
      </c>
      <c r="B34" s="0" t="n">
        <v>9</v>
      </c>
      <c r="C34" s="0" t="s">
        <v>12</v>
      </c>
      <c r="D34" s="0" t="n">
        <v>217.54</v>
      </c>
      <c r="E34" s="0" t="n">
        <v>65920</v>
      </c>
      <c r="H34" s="0" t="n">
        <v>0.2904</v>
      </c>
      <c r="J34" s="0" t="n">
        <v>52599</v>
      </c>
      <c r="K34" s="0" t="n">
        <v>15277.15</v>
      </c>
    </row>
    <row r="35" customFormat="false" ht="15" hidden="false" customHeight="false" outlineLevel="0" collapsed="false">
      <c r="A35" s="0" t="n">
        <v>2024</v>
      </c>
      <c r="B35" s="0" t="n">
        <v>10</v>
      </c>
      <c r="C35" s="0" t="s">
        <v>12</v>
      </c>
      <c r="D35" s="0" t="n">
        <v>96.65</v>
      </c>
      <c r="E35" s="0" t="n">
        <v>100508</v>
      </c>
      <c r="H35" s="0" t="n">
        <v>0.2856</v>
      </c>
      <c r="J35" s="0" t="n">
        <v>54362</v>
      </c>
      <c r="K35" s="0" t="n">
        <v>15523.99</v>
      </c>
    </row>
    <row r="36" customFormat="false" ht="15" hidden="false" customHeight="false" outlineLevel="0" collapsed="false">
      <c r="A36" s="0" t="n">
        <v>2024</v>
      </c>
      <c r="B36" s="0" t="n">
        <v>11</v>
      </c>
      <c r="C36" s="0" t="s">
        <v>12</v>
      </c>
      <c r="D36" s="0" t="n">
        <v>200</v>
      </c>
      <c r="E36" s="0" t="n">
        <v>85000</v>
      </c>
      <c r="F36" s="0" t="n">
        <v>745.92</v>
      </c>
      <c r="H36" s="0" t="n">
        <v>0.307</v>
      </c>
      <c r="I36" s="0" t="n">
        <v>228.99744</v>
      </c>
      <c r="J36" s="0" t="n">
        <v>64157</v>
      </c>
      <c r="K36" s="0" t="n">
        <v>19751.41</v>
      </c>
    </row>
    <row r="37" customFormat="false" ht="15" hidden="false" customHeight="false" outlineLevel="0" collapsed="false">
      <c r="A37" s="0" t="n">
        <v>2024</v>
      </c>
      <c r="B37" s="0" t="n">
        <v>12</v>
      </c>
      <c r="C37" s="0" t="s">
        <v>12</v>
      </c>
      <c r="D37" s="0" t="n">
        <v>59.3</v>
      </c>
      <c r="E37" s="0" t="n">
        <v>49458</v>
      </c>
      <c r="F37" s="0" t="n">
        <v>312.14</v>
      </c>
      <c r="H37" s="0" t="n">
        <v>0.331</v>
      </c>
      <c r="I37" s="0" t="n">
        <v>103.31834</v>
      </c>
      <c r="J37" s="0" t="n">
        <v>51593</v>
      </c>
      <c r="K37" s="0" t="n">
        <v>17063.94</v>
      </c>
    </row>
    <row r="38" customFormat="false" ht="15" hidden="false" customHeight="false" outlineLevel="0" collapsed="false">
      <c r="A38" s="0" t="n">
        <v>2025</v>
      </c>
      <c r="B38" s="0" t="n">
        <v>1</v>
      </c>
      <c r="C38" s="0" t="s">
        <v>12</v>
      </c>
      <c r="D38" s="0" t="n">
        <v>129.8</v>
      </c>
      <c r="E38" s="0" t="n">
        <v>81089</v>
      </c>
      <c r="F38" s="0" t="n">
        <v>428.89</v>
      </c>
      <c r="H38" s="0" t="n">
        <v>0.335</v>
      </c>
      <c r="I38" s="0" t="n">
        <v>143.67815</v>
      </c>
      <c r="J38" s="0" t="n">
        <v>61904</v>
      </c>
      <c r="K38" s="0" t="n">
        <v>20875.39</v>
      </c>
    </row>
    <row r="39" customFormat="false" ht="15" hidden="false" customHeight="false" outlineLevel="0" collapsed="false">
      <c r="A39" s="0" t="n">
        <v>2025</v>
      </c>
      <c r="B39" s="0" t="n">
        <v>2</v>
      </c>
      <c r="C39" s="0" t="s">
        <v>12</v>
      </c>
      <c r="D39" s="0" t="n">
        <v>153.8</v>
      </c>
      <c r="E39" s="0" t="n">
        <v>90790</v>
      </c>
      <c r="F39" s="0" t="n">
        <v>492.78</v>
      </c>
      <c r="H39" s="0" t="n">
        <v>0.334</v>
      </c>
      <c r="I39" s="0" t="n">
        <v>164.58852</v>
      </c>
      <c r="J39" s="0" t="n">
        <v>60366</v>
      </c>
      <c r="K39" s="0" t="n">
        <v>20173.7</v>
      </c>
    </row>
    <row r="40" customFormat="false" ht="15" hidden="false" customHeight="false" outlineLevel="0" collapsed="false">
      <c r="A40" s="0" t="n">
        <v>2025</v>
      </c>
      <c r="B40" s="0" t="n">
        <v>3</v>
      </c>
      <c r="C40" s="0" t="s">
        <v>12</v>
      </c>
      <c r="D40" s="0" t="n">
        <v>94.6</v>
      </c>
      <c r="E40" s="0" t="n">
        <v>82524</v>
      </c>
      <c r="F40" s="0" t="n">
        <v>407.33</v>
      </c>
      <c r="H40" s="0" t="n">
        <v>0.286</v>
      </c>
      <c r="I40" s="0" t="n">
        <v>116.49638</v>
      </c>
      <c r="J40" s="0" t="n">
        <v>58209</v>
      </c>
      <c r="K40" s="0" t="n">
        <v>16648.58</v>
      </c>
    </row>
    <row r="41" customFormat="false" ht="15" hidden="false" customHeight="false" outlineLevel="0" collapsed="false">
      <c r="A41" s="0" t="n">
        <v>2025</v>
      </c>
      <c r="B41" s="0" t="n">
        <v>4</v>
      </c>
      <c r="C41" s="0" t="s">
        <v>12</v>
      </c>
      <c r="D41" s="0" t="n">
        <v>84.6</v>
      </c>
      <c r="E41" s="0" t="n">
        <v>89516</v>
      </c>
      <c r="F41" s="0" t="n">
        <v>339.18</v>
      </c>
      <c r="H41" s="0" t="n">
        <v>0.2655</v>
      </c>
      <c r="I41" s="0" t="n">
        <v>90.0522899999999</v>
      </c>
      <c r="J41" s="0" t="n">
        <v>41269</v>
      </c>
      <c r="K41" s="0" t="n">
        <v>10956.7</v>
      </c>
    </row>
    <row r="42" customFormat="false" ht="15" hidden="false" customHeight="false" outlineLevel="0" collapsed="false">
      <c r="A42" s="0" t="n">
        <v>2025</v>
      </c>
      <c r="B42" s="0" t="n">
        <v>5</v>
      </c>
      <c r="C42" s="0" t="s">
        <v>12</v>
      </c>
      <c r="D42" s="0" t="n">
        <v>135.2</v>
      </c>
      <c r="E42" s="0" t="n">
        <v>36500</v>
      </c>
      <c r="F42" s="0" t="n">
        <v>253.47</v>
      </c>
      <c r="H42" s="0" t="n">
        <v>0.2575</v>
      </c>
      <c r="I42" s="0" t="n">
        <v>65.268525</v>
      </c>
      <c r="J42" s="0" t="n">
        <v>30809</v>
      </c>
      <c r="K42" s="0" t="n">
        <v>7932.95</v>
      </c>
    </row>
    <row r="43" customFormat="false" ht="15" hidden="false" customHeight="false" outlineLevel="0" collapsed="false">
      <c r="A43" s="0" t="n">
        <v>2025</v>
      </c>
      <c r="B43" s="0" t="n">
        <v>6</v>
      </c>
      <c r="C43" s="0" t="s">
        <v>12</v>
      </c>
      <c r="D43" s="0" t="n">
        <v>18.2</v>
      </c>
      <c r="E43" s="0" t="n">
        <v>20900</v>
      </c>
      <c r="F43" s="0" t="n">
        <v>97.4400000000001</v>
      </c>
      <c r="H43" s="0" t="n">
        <v>0.355</v>
      </c>
      <c r="I43" s="0" t="n">
        <v>34.5912</v>
      </c>
      <c r="J43" s="0" t="n">
        <v>33644</v>
      </c>
      <c r="K43" s="0" t="n">
        <v>11949.42</v>
      </c>
    </row>
    <row r="44" customFormat="false" ht="15" hidden="false" customHeight="false" outlineLevel="0" collapsed="false">
      <c r="A44" s="0" t="n">
        <v>2025</v>
      </c>
      <c r="B44" s="0" t="n">
        <v>7</v>
      </c>
      <c r="C44" s="0" t="s">
        <v>12</v>
      </c>
      <c r="D44" s="0" t="n">
        <v>173.2</v>
      </c>
      <c r="E44" s="0" t="n">
        <v>197200</v>
      </c>
      <c r="F44" s="0" t="n">
        <v>448.6</v>
      </c>
      <c r="H44" s="0" t="n">
        <v>0.296</v>
      </c>
      <c r="I44" s="0" t="n">
        <v>132.7856</v>
      </c>
      <c r="J44" s="0" t="n">
        <v>51483</v>
      </c>
      <c r="K44" s="0" t="n">
        <v>15262.33</v>
      </c>
    </row>
    <row r="45" customFormat="false" ht="15" hidden="false" customHeight="false" outlineLevel="0" collapsed="false">
      <c r="A45" s="0" t="n">
        <v>2025</v>
      </c>
      <c r="B45" s="0" t="n">
        <v>8</v>
      </c>
      <c r="C45" s="0" t="s">
        <v>12</v>
      </c>
      <c r="D45" s="0" t="n">
        <v>0</v>
      </c>
      <c r="E45" s="0" t="n">
        <v>0</v>
      </c>
      <c r="F45" s="0" t="n">
        <v>4.04999999999973</v>
      </c>
      <c r="H45" s="0" t="n">
        <v>0.3268</v>
      </c>
      <c r="I45" s="0" t="n">
        <v>1.32353999999991</v>
      </c>
      <c r="J45" s="0" t="n">
        <v>17650</v>
      </c>
      <c r="K45" s="0" t="n">
        <v>5768.63</v>
      </c>
    </row>
    <row r="46" customFormat="false" ht="15" hidden="false" customHeight="false" outlineLevel="0" collapsed="false">
      <c r="A46" s="0" t="n">
        <v>2025</v>
      </c>
      <c r="B46" s="0" t="n">
        <v>9</v>
      </c>
      <c r="C46" s="0" t="s">
        <v>12</v>
      </c>
      <c r="D46" s="0" t="n">
        <v>40.05</v>
      </c>
      <c r="E46" s="0" t="n">
        <v>16300</v>
      </c>
      <c r="F46" s="0" t="n">
        <v>179.22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" hidden="false" customHeight="false" outlineLevel="0" collapsed="false">
      <c r="A47" s="0" t="n">
        <v>2025</v>
      </c>
      <c r="B47" s="0" t="n">
        <v>10</v>
      </c>
      <c r="C47" s="0" t="s">
        <v>12</v>
      </c>
      <c r="J47" s="0" t="n">
        <v>0</v>
      </c>
      <c r="K47" s="0" t="n">
        <v>0</v>
      </c>
    </row>
    <row r="48" customFormat="false" ht="15" hidden="false" customHeight="false" outlineLevel="0" collapsed="false">
      <c r="A48" s="0" t="n">
        <v>2025</v>
      </c>
      <c r="B48" s="0" t="n">
        <v>11</v>
      </c>
      <c r="C48" s="0" t="s">
        <v>12</v>
      </c>
      <c r="J48" s="0" t="n">
        <v>0</v>
      </c>
      <c r="K48" s="0" t="n">
        <v>0</v>
      </c>
    </row>
    <row r="49" customFormat="false" ht="15" hidden="false" customHeight="false" outlineLevel="0" collapsed="false">
      <c r="A49" s="0" t="n">
        <v>2025</v>
      </c>
      <c r="B49" s="0" t="n">
        <v>12</v>
      </c>
      <c r="C49" s="0" t="s">
        <v>12</v>
      </c>
      <c r="J49" s="0" t="n">
        <v>0</v>
      </c>
      <c r="K49" s="0" t="n">
        <v>0</v>
      </c>
    </row>
    <row r="50" customFormat="false" ht="15" hidden="false" customHeight="false" outlineLevel="0" collapsed="false">
      <c r="A50" s="0" t="n">
        <v>2024</v>
      </c>
      <c r="B50" s="0" t="n">
        <v>1</v>
      </c>
      <c r="C50" s="0" t="s">
        <v>13</v>
      </c>
      <c r="D50" s="0" t="n">
        <v>141.59</v>
      </c>
      <c r="E50" s="0" t="n">
        <v>74096</v>
      </c>
      <c r="H50" s="0" t="n">
        <v>0.2557</v>
      </c>
      <c r="J50" s="0" t="n">
        <v>64934</v>
      </c>
      <c r="K50" s="0" t="n">
        <v>16601.39</v>
      </c>
    </row>
    <row r="51" customFormat="false" ht="15" hidden="false" customHeight="false" outlineLevel="0" collapsed="false">
      <c r="A51" s="0" t="n">
        <v>2024</v>
      </c>
      <c r="B51" s="0" t="n">
        <v>2</v>
      </c>
      <c r="C51" s="0" t="s">
        <v>13</v>
      </c>
      <c r="D51" s="0" t="n">
        <v>211.19</v>
      </c>
      <c r="E51" s="0" t="n">
        <v>76550</v>
      </c>
      <c r="H51" s="0" t="n">
        <v>0.2378</v>
      </c>
      <c r="J51" s="0" t="n">
        <v>71197</v>
      </c>
      <c r="K51" s="0" t="n">
        <v>16934</v>
      </c>
    </row>
    <row r="52" customFormat="false" ht="15" hidden="false" customHeight="false" outlineLevel="0" collapsed="false">
      <c r="A52" s="0" t="n">
        <v>2024</v>
      </c>
      <c r="B52" s="0" t="n">
        <v>3</v>
      </c>
      <c r="C52" s="0" t="s">
        <v>13</v>
      </c>
      <c r="D52" s="0" t="n">
        <v>83.45</v>
      </c>
      <c r="E52" s="0" t="n">
        <v>47000</v>
      </c>
      <c r="H52" s="0" t="n">
        <v>0.2428</v>
      </c>
      <c r="J52" s="0" t="n">
        <v>51152</v>
      </c>
      <c r="K52" s="0" t="n">
        <v>12419.74</v>
      </c>
    </row>
    <row r="53" customFormat="false" ht="15" hidden="false" customHeight="false" outlineLevel="0" collapsed="false">
      <c r="A53" s="0" t="n">
        <v>2024</v>
      </c>
      <c r="B53" s="0" t="n">
        <v>4</v>
      </c>
      <c r="C53" s="0" t="s">
        <v>13</v>
      </c>
      <c r="D53" s="0" t="n">
        <v>0</v>
      </c>
      <c r="E53" s="0" t="n">
        <v>10860</v>
      </c>
      <c r="H53" s="0" t="n">
        <v>0.2416</v>
      </c>
      <c r="J53" s="0" t="n">
        <v>45316</v>
      </c>
      <c r="K53" s="0" t="n">
        <v>10948.47</v>
      </c>
    </row>
    <row r="54" customFormat="false" ht="15" hidden="false" customHeight="false" outlineLevel="0" collapsed="false">
      <c r="A54" s="0" t="n">
        <v>2024</v>
      </c>
      <c r="B54" s="0" t="n">
        <v>5</v>
      </c>
      <c r="C54" s="0" t="s">
        <v>13</v>
      </c>
      <c r="D54" s="0" t="n">
        <v>69.22</v>
      </c>
      <c r="E54" s="0" t="n">
        <v>13432</v>
      </c>
      <c r="H54" s="0" t="n">
        <v>0.2507</v>
      </c>
      <c r="J54" s="0" t="n">
        <v>51330</v>
      </c>
      <c r="K54" s="0" t="n">
        <v>12868.58</v>
      </c>
    </row>
    <row r="55" customFormat="false" ht="15" hidden="false" customHeight="false" outlineLevel="0" collapsed="false">
      <c r="A55" s="0" t="n">
        <v>2024</v>
      </c>
      <c r="B55" s="0" t="n">
        <v>6</v>
      </c>
      <c r="C55" s="0" t="s">
        <v>13</v>
      </c>
      <c r="D55" s="0" t="n">
        <v>62.19</v>
      </c>
      <c r="E55" s="0" t="n">
        <v>36744</v>
      </c>
      <c r="H55" s="0" t="n">
        <v>0.2722</v>
      </c>
      <c r="J55" s="0" t="n">
        <v>42151</v>
      </c>
      <c r="K55" s="0" t="n">
        <v>11473.9</v>
      </c>
    </row>
    <row r="56" customFormat="false" ht="15" hidden="false" customHeight="false" outlineLevel="0" collapsed="false">
      <c r="A56" s="0" t="n">
        <v>2024</v>
      </c>
      <c r="B56" s="0" t="n">
        <v>7</v>
      </c>
      <c r="C56" s="0" t="s">
        <v>13</v>
      </c>
      <c r="D56" s="0" t="n">
        <v>59.82</v>
      </c>
      <c r="E56" s="0" t="n">
        <v>18500</v>
      </c>
      <c r="H56" s="0" t="n">
        <v>0.287</v>
      </c>
      <c r="J56" s="0" t="n">
        <v>67581</v>
      </c>
      <c r="K56" s="0" t="n">
        <v>19396.73</v>
      </c>
    </row>
    <row r="57" customFormat="false" ht="15" hidden="false" customHeight="false" outlineLevel="0" collapsed="false">
      <c r="A57" s="0" t="n">
        <v>2024</v>
      </c>
      <c r="B57" s="0" t="n">
        <v>8</v>
      </c>
      <c r="C57" s="0" t="s">
        <v>13</v>
      </c>
      <c r="D57" s="0" t="n">
        <v>45.05</v>
      </c>
      <c r="E57" s="0" t="n">
        <v>17088</v>
      </c>
      <c r="H57" s="0" t="n">
        <v>0.3047</v>
      </c>
      <c r="J57" s="0" t="n">
        <v>44796</v>
      </c>
      <c r="K57" s="0" t="n">
        <v>13651.04</v>
      </c>
    </row>
    <row r="58" customFormat="false" ht="15" hidden="false" customHeight="false" outlineLevel="0" collapsed="false">
      <c r="A58" s="0" t="n">
        <v>2024</v>
      </c>
      <c r="B58" s="0" t="n">
        <v>9</v>
      </c>
      <c r="C58" s="0" t="s">
        <v>13</v>
      </c>
      <c r="D58" s="0" t="n">
        <v>84.73</v>
      </c>
      <c r="E58" s="0" t="n">
        <v>13260</v>
      </c>
      <c r="H58" s="0" t="n">
        <v>0.2904</v>
      </c>
      <c r="J58" s="0" t="n">
        <v>52599</v>
      </c>
      <c r="K58" s="0" t="n">
        <v>15277.15</v>
      </c>
    </row>
    <row r="59" customFormat="false" ht="15" hidden="false" customHeight="false" outlineLevel="0" collapsed="false">
      <c r="A59" s="0" t="n">
        <v>2024</v>
      </c>
      <c r="B59" s="0" t="n">
        <v>10</v>
      </c>
      <c r="C59" s="0" t="s">
        <v>13</v>
      </c>
      <c r="D59" s="0" t="n">
        <v>45.11</v>
      </c>
      <c r="E59" s="0" t="n">
        <v>4700</v>
      </c>
      <c r="H59" s="0" t="n">
        <v>0.2856</v>
      </c>
      <c r="J59" s="0" t="n">
        <v>54362</v>
      </c>
      <c r="K59" s="0" t="n">
        <v>15523.99</v>
      </c>
    </row>
    <row r="60" customFormat="false" ht="15" hidden="false" customHeight="false" outlineLevel="0" collapsed="false">
      <c r="A60" s="0" t="n">
        <v>2024</v>
      </c>
      <c r="B60" s="0" t="n">
        <v>11</v>
      </c>
      <c r="C60" s="0" t="s">
        <v>13</v>
      </c>
      <c r="D60" s="0" t="n">
        <v>103.3</v>
      </c>
      <c r="E60" s="0" t="n">
        <v>15405</v>
      </c>
      <c r="F60" s="0" t="n">
        <v>511.15</v>
      </c>
      <c r="H60" s="0" t="n">
        <v>0.307</v>
      </c>
      <c r="I60" s="0" t="n">
        <v>156.92305</v>
      </c>
      <c r="J60" s="0" t="n">
        <v>64157</v>
      </c>
      <c r="K60" s="0" t="n">
        <v>19751.41</v>
      </c>
    </row>
    <row r="61" customFormat="false" ht="15" hidden="false" customHeight="false" outlineLevel="0" collapsed="false">
      <c r="A61" s="0" t="n">
        <v>2024</v>
      </c>
      <c r="B61" s="0" t="n">
        <v>12</v>
      </c>
      <c r="C61" s="0" t="s">
        <v>13</v>
      </c>
      <c r="D61" s="0" t="n">
        <v>89.7</v>
      </c>
      <c r="E61" s="0" t="n">
        <v>100138</v>
      </c>
      <c r="F61" s="0" t="n">
        <v>357.13</v>
      </c>
      <c r="H61" s="0" t="n">
        <v>0.331</v>
      </c>
      <c r="I61" s="0" t="n">
        <v>118.21003</v>
      </c>
      <c r="J61" s="0" t="n">
        <v>51593</v>
      </c>
      <c r="K61" s="0" t="n">
        <v>17063.94</v>
      </c>
    </row>
    <row r="62" customFormat="false" ht="15" hidden="false" customHeight="false" outlineLevel="0" collapsed="false">
      <c r="A62" s="0" t="n">
        <v>2025</v>
      </c>
      <c r="B62" s="0" t="n">
        <v>1</v>
      </c>
      <c r="C62" s="0" t="s">
        <v>13</v>
      </c>
      <c r="D62" s="0" t="n">
        <v>99.7</v>
      </c>
      <c r="E62" s="0" t="n">
        <v>6278</v>
      </c>
      <c r="F62" s="0" t="n">
        <v>502.77</v>
      </c>
      <c r="H62" s="0" t="n">
        <v>0.335</v>
      </c>
      <c r="I62" s="0" t="n">
        <v>168.42795</v>
      </c>
      <c r="J62" s="0" t="n">
        <v>61904</v>
      </c>
      <c r="K62" s="0" t="n">
        <v>20875.39</v>
      </c>
    </row>
    <row r="63" customFormat="false" ht="15" hidden="false" customHeight="false" outlineLevel="0" collapsed="false">
      <c r="A63" s="0" t="n">
        <v>2025</v>
      </c>
      <c r="B63" s="0" t="n">
        <v>2</v>
      </c>
      <c r="C63" s="0" t="s">
        <v>13</v>
      </c>
      <c r="D63" s="0" t="n">
        <v>77.6</v>
      </c>
      <c r="E63" s="0" t="n">
        <v>41985</v>
      </c>
      <c r="F63" s="0" t="n">
        <v>286.44</v>
      </c>
      <c r="H63" s="0" t="n">
        <v>0.334</v>
      </c>
      <c r="I63" s="0" t="n">
        <v>95.67096</v>
      </c>
      <c r="J63" s="0" t="n">
        <v>60366</v>
      </c>
      <c r="K63" s="0" t="n">
        <v>20173.7</v>
      </c>
    </row>
    <row r="64" customFormat="false" ht="15" hidden="false" customHeight="false" outlineLevel="0" collapsed="false">
      <c r="A64" s="0" t="n">
        <v>2025</v>
      </c>
      <c r="B64" s="0" t="n">
        <v>3</v>
      </c>
      <c r="C64" s="0" t="s">
        <v>13</v>
      </c>
      <c r="D64" s="0" t="n">
        <v>53.7</v>
      </c>
      <c r="E64" s="0" t="n">
        <v>36925</v>
      </c>
      <c r="F64" s="0" t="n">
        <v>402.32</v>
      </c>
      <c r="H64" s="0" t="n">
        <v>0.286</v>
      </c>
      <c r="I64" s="0" t="n">
        <v>115.06352</v>
      </c>
      <c r="J64" s="0" t="n">
        <v>58209</v>
      </c>
      <c r="K64" s="0" t="n">
        <v>16648.58</v>
      </c>
    </row>
    <row r="65" customFormat="false" ht="15" hidden="false" customHeight="false" outlineLevel="0" collapsed="false">
      <c r="A65" s="0" t="n">
        <v>2025</v>
      </c>
      <c r="B65" s="0" t="n">
        <v>4</v>
      </c>
      <c r="C65" s="0" t="s">
        <v>13</v>
      </c>
      <c r="D65" s="0" t="n">
        <v>108.4</v>
      </c>
      <c r="E65" s="0" t="n">
        <v>19510</v>
      </c>
      <c r="F65" s="0" t="n">
        <v>398.69</v>
      </c>
      <c r="H65" s="0" t="n">
        <v>0.2655</v>
      </c>
      <c r="I65" s="0" t="n">
        <v>105.852195</v>
      </c>
      <c r="J65" s="0" t="n">
        <v>41269</v>
      </c>
      <c r="K65" s="0" t="n">
        <v>10956.7</v>
      </c>
    </row>
    <row r="66" customFormat="false" ht="15" hidden="false" customHeight="false" outlineLevel="0" collapsed="false">
      <c r="A66" s="0" t="n">
        <v>2025</v>
      </c>
      <c r="B66" s="0" t="n">
        <v>5</v>
      </c>
      <c r="C66" s="0" t="s">
        <v>13</v>
      </c>
      <c r="D66" s="0" t="n">
        <v>2.2</v>
      </c>
      <c r="E66" s="0" t="n">
        <v>500</v>
      </c>
      <c r="F66" s="0" t="n">
        <v>66.4000000000001</v>
      </c>
      <c r="H66" s="0" t="n">
        <v>0.2575</v>
      </c>
      <c r="I66" s="0" t="n">
        <v>17.098</v>
      </c>
      <c r="J66" s="0" t="n">
        <v>30809</v>
      </c>
      <c r="K66" s="0" t="n">
        <v>7932.95</v>
      </c>
    </row>
    <row r="67" customFormat="false" ht="15" hidden="false" customHeight="false" outlineLevel="0" collapsed="false">
      <c r="A67" s="0" t="n">
        <v>2025</v>
      </c>
      <c r="B67" s="0" t="n">
        <v>6</v>
      </c>
      <c r="C67" s="0" t="s">
        <v>13</v>
      </c>
      <c r="D67" s="0" t="n">
        <v>15.8</v>
      </c>
      <c r="E67" s="0" t="n">
        <v>4484</v>
      </c>
      <c r="F67" s="0" t="n">
        <v>146.03</v>
      </c>
      <c r="H67" s="0" t="n">
        <v>0.355</v>
      </c>
      <c r="I67" s="0" t="n">
        <v>51.8406500000001</v>
      </c>
      <c r="J67" s="0" t="n">
        <v>33644</v>
      </c>
      <c r="K67" s="0" t="n">
        <v>11949.42</v>
      </c>
    </row>
    <row r="68" customFormat="false" ht="15" hidden="false" customHeight="false" outlineLevel="0" collapsed="false">
      <c r="A68" s="0" t="n">
        <v>2025</v>
      </c>
      <c r="B68" s="0" t="n">
        <v>7</v>
      </c>
      <c r="C68" s="0" t="s">
        <v>13</v>
      </c>
      <c r="D68" s="0" t="n">
        <v>115.1</v>
      </c>
      <c r="E68" s="0" t="n">
        <v>51000</v>
      </c>
      <c r="F68" s="0" t="n">
        <v>538.77</v>
      </c>
      <c r="H68" s="0" t="n">
        <v>0.296</v>
      </c>
      <c r="I68" s="0" t="n">
        <v>159.47592</v>
      </c>
      <c r="J68" s="0" t="n">
        <v>51483</v>
      </c>
      <c r="K68" s="0" t="n">
        <v>15262.33</v>
      </c>
    </row>
    <row r="69" customFormat="false" ht="15" hidden="false" customHeight="false" outlineLevel="0" collapsed="false">
      <c r="A69" s="0" t="n">
        <v>2025</v>
      </c>
      <c r="B69" s="0" t="n">
        <v>8</v>
      </c>
      <c r="C69" s="0" t="s">
        <v>13</v>
      </c>
      <c r="D69" s="0" t="n">
        <v>59.62</v>
      </c>
      <c r="E69" s="0" t="n">
        <v>35441</v>
      </c>
      <c r="F69" s="0" t="n">
        <v>163.2</v>
      </c>
      <c r="H69" s="0" t="n">
        <v>0.3268</v>
      </c>
      <c r="I69" s="0" t="n">
        <v>53.3337599999999</v>
      </c>
      <c r="J69" s="0" t="n">
        <v>17650</v>
      </c>
      <c r="K69" s="0" t="n">
        <v>5768.63</v>
      </c>
    </row>
    <row r="70" customFormat="false" ht="15" hidden="false" customHeight="false" outlineLevel="0" collapsed="false">
      <c r="A70" s="0" t="n">
        <v>2025</v>
      </c>
      <c r="B70" s="0" t="n">
        <v>9</v>
      </c>
      <c r="C70" s="0" t="s">
        <v>13</v>
      </c>
      <c r="D70" s="0" t="n">
        <v>287.77</v>
      </c>
      <c r="E70" s="0" t="n">
        <v>112280</v>
      </c>
      <c r="F70" s="0" t="n">
        <v>746.4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" hidden="false" customHeight="false" outlineLevel="0" collapsed="false">
      <c r="A71" s="0" t="n">
        <v>2025</v>
      </c>
      <c r="B71" s="0" t="n">
        <v>10</v>
      </c>
      <c r="C71" s="0" t="s">
        <v>13</v>
      </c>
      <c r="H71" s="0" t="n">
        <v>0</v>
      </c>
      <c r="J71" s="0" t="n">
        <v>0</v>
      </c>
      <c r="K71" s="0" t="n">
        <v>0</v>
      </c>
    </row>
    <row r="72" customFormat="false" ht="15" hidden="false" customHeight="false" outlineLevel="0" collapsed="false">
      <c r="A72" s="0" t="n">
        <v>2025</v>
      </c>
      <c r="B72" s="0" t="n">
        <v>11</v>
      </c>
      <c r="C72" s="0" t="s">
        <v>13</v>
      </c>
      <c r="H72" s="0" t="n">
        <v>0</v>
      </c>
      <c r="J72" s="0" t="n">
        <v>0</v>
      </c>
      <c r="K72" s="0" t="n">
        <v>0</v>
      </c>
    </row>
    <row r="73" customFormat="false" ht="15" hidden="false" customHeight="false" outlineLevel="0" collapsed="false">
      <c r="A73" s="0" t="n">
        <v>2025</v>
      </c>
      <c r="B73" s="0" t="n">
        <v>12</v>
      </c>
      <c r="C73" s="0" t="s">
        <v>13</v>
      </c>
      <c r="H73" s="0" t="n">
        <v>0</v>
      </c>
      <c r="J73" s="0" t="n">
        <v>0</v>
      </c>
      <c r="K73" s="0" t="n">
        <v>0</v>
      </c>
    </row>
    <row r="74" customFormat="false" ht="15" hidden="false" customHeight="false" outlineLevel="0" collapsed="false">
      <c r="A74" s="0" t="n">
        <v>2024</v>
      </c>
      <c r="B74" s="0" t="n">
        <v>1</v>
      </c>
      <c r="C74" s="0" t="s">
        <v>14</v>
      </c>
      <c r="D74" s="0" t="n">
        <v>181.16</v>
      </c>
      <c r="E74" s="0" t="n">
        <v>157102</v>
      </c>
      <c r="H74" s="0" t="n">
        <v>0.2557</v>
      </c>
      <c r="J74" s="0" t="n">
        <v>64934</v>
      </c>
      <c r="K74" s="0" t="n">
        <v>16601.39</v>
      </c>
    </row>
    <row r="75" customFormat="false" ht="15" hidden="false" customHeight="false" outlineLevel="0" collapsed="false">
      <c r="A75" s="0" t="n">
        <v>2024</v>
      </c>
      <c r="B75" s="0" t="n">
        <v>2</v>
      </c>
      <c r="C75" s="0" t="s">
        <v>14</v>
      </c>
      <c r="D75" s="0" t="n">
        <v>228.07</v>
      </c>
      <c r="E75" s="0" t="n">
        <v>144108</v>
      </c>
      <c r="H75" s="0" t="n">
        <v>0.2378</v>
      </c>
      <c r="J75" s="0" t="n">
        <v>71197</v>
      </c>
      <c r="K75" s="0" t="n">
        <v>16934</v>
      </c>
    </row>
    <row r="76" customFormat="false" ht="15" hidden="false" customHeight="false" outlineLevel="0" collapsed="false">
      <c r="A76" s="0" t="n">
        <v>2024</v>
      </c>
      <c r="B76" s="0" t="n">
        <v>3</v>
      </c>
      <c r="C76" s="0" t="s">
        <v>14</v>
      </c>
      <c r="D76" s="0" t="n">
        <v>14.89</v>
      </c>
      <c r="E76" s="0" t="n">
        <v>11200</v>
      </c>
      <c r="H76" s="0" t="n">
        <v>0.2428</v>
      </c>
      <c r="J76" s="0" t="n">
        <v>51152</v>
      </c>
      <c r="K76" s="0" t="n">
        <v>12419.74</v>
      </c>
    </row>
    <row r="77" customFormat="false" ht="15" hidden="false" customHeight="false" outlineLevel="0" collapsed="false">
      <c r="A77" s="0" t="n">
        <v>2024</v>
      </c>
      <c r="B77" s="0" t="n">
        <v>4</v>
      </c>
      <c r="C77" s="0" t="s">
        <v>14</v>
      </c>
      <c r="D77" s="0" t="n">
        <v>12.3</v>
      </c>
      <c r="E77" s="0" t="n">
        <v>4860</v>
      </c>
      <c r="H77" s="0" t="n">
        <v>0.2416</v>
      </c>
      <c r="J77" s="0" t="n">
        <v>45316</v>
      </c>
      <c r="K77" s="0" t="n">
        <v>10948.47</v>
      </c>
    </row>
    <row r="78" customFormat="false" ht="15" hidden="false" customHeight="false" outlineLevel="0" collapsed="false">
      <c r="A78" s="0" t="n">
        <v>2024</v>
      </c>
      <c r="B78" s="0" t="n">
        <v>5</v>
      </c>
      <c r="C78" s="0" t="s">
        <v>14</v>
      </c>
      <c r="D78" s="0" t="n">
        <v>133.93</v>
      </c>
      <c r="E78" s="0" t="n">
        <v>75309</v>
      </c>
      <c r="H78" s="0" t="n">
        <v>0.2507</v>
      </c>
      <c r="J78" s="0" t="n">
        <v>51330</v>
      </c>
      <c r="K78" s="0" t="n">
        <v>12868.58</v>
      </c>
    </row>
    <row r="79" customFormat="false" ht="15" hidden="false" customHeight="false" outlineLevel="0" collapsed="false">
      <c r="A79" s="0" t="n">
        <v>2024</v>
      </c>
      <c r="B79" s="0" t="n">
        <v>6</v>
      </c>
      <c r="C79" s="0" t="s">
        <v>14</v>
      </c>
      <c r="D79" s="0" t="n">
        <v>9.27</v>
      </c>
      <c r="E79" s="0" t="n">
        <v>3083</v>
      </c>
      <c r="H79" s="0" t="n">
        <v>0.2722</v>
      </c>
      <c r="J79" s="0" t="n">
        <v>42151</v>
      </c>
      <c r="K79" s="0" t="n">
        <v>11473.9</v>
      </c>
    </row>
    <row r="80" customFormat="false" ht="15" hidden="false" customHeight="false" outlineLevel="0" collapsed="false">
      <c r="A80" s="0" t="n">
        <v>2024</v>
      </c>
      <c r="B80" s="0" t="n">
        <v>7</v>
      </c>
      <c r="C80" s="0" t="s">
        <v>14</v>
      </c>
      <c r="D80" s="0" t="n">
        <v>93.51</v>
      </c>
      <c r="E80" s="0" t="n">
        <v>68064</v>
      </c>
      <c r="H80" s="0" t="n">
        <v>0.287</v>
      </c>
      <c r="J80" s="0" t="n">
        <v>67581</v>
      </c>
      <c r="K80" s="0" t="n">
        <v>19396.73</v>
      </c>
    </row>
    <row r="81" customFormat="false" ht="15" hidden="false" customHeight="false" outlineLevel="0" collapsed="false">
      <c r="A81" s="0" t="n">
        <v>2024</v>
      </c>
      <c r="B81" s="0" t="n">
        <v>8</v>
      </c>
      <c r="C81" s="0" t="s">
        <v>14</v>
      </c>
      <c r="D81" s="0" t="n">
        <v>130.57</v>
      </c>
      <c r="E81" s="0" t="n">
        <v>106836</v>
      </c>
      <c r="H81" s="0" t="n">
        <v>0.3047</v>
      </c>
      <c r="J81" s="0" t="n">
        <v>44796</v>
      </c>
      <c r="K81" s="0" t="n">
        <v>13651.04</v>
      </c>
    </row>
    <row r="82" customFormat="false" ht="15" hidden="false" customHeight="false" outlineLevel="0" collapsed="false">
      <c r="A82" s="0" t="n">
        <v>2024</v>
      </c>
      <c r="B82" s="0" t="n">
        <v>9</v>
      </c>
      <c r="C82" s="0" t="s">
        <v>14</v>
      </c>
      <c r="D82" s="0" t="n">
        <v>51.16</v>
      </c>
      <c r="E82" s="0" t="n">
        <v>37600</v>
      </c>
      <c r="H82" s="0" t="n">
        <v>0.2904</v>
      </c>
      <c r="J82" s="0" t="n">
        <v>52599</v>
      </c>
      <c r="K82" s="0" t="n">
        <v>15277.15</v>
      </c>
    </row>
    <row r="83" customFormat="false" ht="15" hidden="false" customHeight="false" outlineLevel="0" collapsed="false">
      <c r="A83" s="0" t="n">
        <v>2024</v>
      </c>
      <c r="B83" s="0" t="n">
        <v>10</v>
      </c>
      <c r="C83" s="0" t="s">
        <v>14</v>
      </c>
      <c r="D83" s="0" t="n">
        <v>66.32</v>
      </c>
      <c r="E83" s="0" t="n">
        <v>48808</v>
      </c>
      <c r="H83" s="0" t="n">
        <v>0.2856</v>
      </c>
      <c r="J83" s="0" t="n">
        <v>54362</v>
      </c>
      <c r="K83" s="0" t="n">
        <v>15523.99</v>
      </c>
    </row>
    <row r="84" customFormat="false" ht="15" hidden="false" customHeight="false" outlineLevel="0" collapsed="false">
      <c r="A84" s="0" t="n">
        <v>2024</v>
      </c>
      <c r="B84" s="0" t="n">
        <v>11</v>
      </c>
      <c r="C84" s="0" t="s">
        <v>14</v>
      </c>
      <c r="D84" s="0" t="n">
        <v>100.6</v>
      </c>
      <c r="E84" s="0" t="n">
        <v>71217</v>
      </c>
      <c r="F84" s="0" t="n">
        <v>931.35</v>
      </c>
      <c r="H84" s="0" t="n">
        <v>0.307</v>
      </c>
      <c r="I84" s="0" t="n">
        <v>285.92445</v>
      </c>
      <c r="J84" s="0" t="n">
        <v>64157</v>
      </c>
      <c r="K84" s="0" t="n">
        <v>19751.41</v>
      </c>
    </row>
    <row r="85" customFormat="false" ht="15" hidden="false" customHeight="false" outlineLevel="0" collapsed="false">
      <c r="A85" s="0" t="n">
        <v>2024</v>
      </c>
      <c r="B85" s="0" t="n">
        <v>12</v>
      </c>
      <c r="C85" s="0" t="s">
        <v>14</v>
      </c>
      <c r="D85" s="0" t="n">
        <v>18.7</v>
      </c>
      <c r="E85" s="0" t="n">
        <v>7167</v>
      </c>
      <c r="F85" s="0" t="n">
        <v>138.46</v>
      </c>
      <c r="H85" s="0" t="n">
        <v>0.331</v>
      </c>
      <c r="I85" s="0" t="n">
        <v>45.8302599999999</v>
      </c>
      <c r="J85" s="0" t="n">
        <v>51593</v>
      </c>
      <c r="K85" s="0" t="n">
        <v>17063.94</v>
      </c>
    </row>
    <row r="86" customFormat="false" ht="15" hidden="false" customHeight="false" outlineLevel="0" collapsed="false">
      <c r="A86" s="0" t="n">
        <v>2025</v>
      </c>
      <c r="B86" s="0" t="n">
        <v>1</v>
      </c>
      <c r="C86" s="0" t="s">
        <v>14</v>
      </c>
      <c r="D86" s="0" t="n">
        <v>112.5</v>
      </c>
      <c r="E86" s="0" t="n">
        <v>32200</v>
      </c>
      <c r="F86" s="0" t="n">
        <v>562.68</v>
      </c>
      <c r="H86" s="0" t="n">
        <v>0.335</v>
      </c>
      <c r="I86" s="0" t="n">
        <v>188.4978</v>
      </c>
      <c r="J86" s="0" t="n">
        <v>61904</v>
      </c>
      <c r="K86" s="0" t="n">
        <v>20875.39</v>
      </c>
    </row>
    <row r="87" customFormat="false" ht="15" hidden="false" customHeight="false" outlineLevel="0" collapsed="false">
      <c r="A87" s="0" t="n">
        <v>2025</v>
      </c>
      <c r="B87" s="0" t="n">
        <v>2</v>
      </c>
      <c r="C87" s="0" t="s">
        <v>14</v>
      </c>
      <c r="D87" s="0" t="n">
        <v>137.8</v>
      </c>
      <c r="E87" s="0" t="n">
        <v>57200</v>
      </c>
      <c r="F87" s="0" t="n">
        <v>838.13</v>
      </c>
      <c r="H87" s="0" t="n">
        <v>0.334</v>
      </c>
      <c r="I87" s="0" t="n">
        <v>279.93542</v>
      </c>
      <c r="J87" s="0" t="n">
        <v>60366</v>
      </c>
      <c r="K87" s="0" t="n">
        <v>20173.7</v>
      </c>
    </row>
    <row r="88" customFormat="false" ht="15" hidden="false" customHeight="false" outlineLevel="0" collapsed="false">
      <c r="A88" s="0" t="n">
        <v>2025</v>
      </c>
      <c r="B88" s="0" t="n">
        <v>3</v>
      </c>
      <c r="C88" s="0" t="s">
        <v>14</v>
      </c>
      <c r="D88" s="0" t="n">
        <v>80.1</v>
      </c>
      <c r="E88" s="0" t="n">
        <v>46789</v>
      </c>
      <c r="F88" s="0" t="n">
        <v>740.02</v>
      </c>
      <c r="H88" s="0" t="n">
        <v>0.286</v>
      </c>
      <c r="I88" s="0" t="n">
        <v>211.64572</v>
      </c>
      <c r="J88" s="0" t="n">
        <v>58209</v>
      </c>
      <c r="K88" s="0" t="n">
        <v>16648.58</v>
      </c>
    </row>
    <row r="89" customFormat="false" ht="15" hidden="false" customHeight="false" outlineLevel="0" collapsed="false">
      <c r="A89" s="0" t="n">
        <v>2025</v>
      </c>
      <c r="B89" s="0" t="n">
        <v>4</v>
      </c>
      <c r="C89" s="0" t="s">
        <v>14</v>
      </c>
      <c r="D89" s="0" t="n">
        <v>167.4</v>
      </c>
      <c r="E89" s="0" t="n">
        <v>36400</v>
      </c>
      <c r="F89" s="0" t="n">
        <v>742.47</v>
      </c>
      <c r="H89" s="0" t="n">
        <v>0.2655</v>
      </c>
      <c r="I89" s="0" t="n">
        <v>197.125785</v>
      </c>
      <c r="J89" s="0" t="n">
        <v>41269</v>
      </c>
      <c r="K89" s="0" t="n">
        <v>10956.7</v>
      </c>
    </row>
    <row r="90" customFormat="false" ht="15" hidden="false" customHeight="false" outlineLevel="0" collapsed="false">
      <c r="A90" s="0" t="n">
        <v>2025</v>
      </c>
      <c r="B90" s="0" t="n">
        <v>5</v>
      </c>
      <c r="C90" s="0" t="s">
        <v>14</v>
      </c>
      <c r="D90" s="0" t="n">
        <v>4.4</v>
      </c>
      <c r="E90" s="0" t="n">
        <v>1303</v>
      </c>
      <c r="F90" s="0" t="n">
        <v>78.8499999999995</v>
      </c>
      <c r="H90" s="0" t="n">
        <v>0.2575</v>
      </c>
      <c r="I90" s="0" t="n">
        <v>20.3038749999999</v>
      </c>
      <c r="J90" s="0" t="n">
        <v>30809</v>
      </c>
      <c r="K90" s="0" t="n">
        <v>7932.95</v>
      </c>
    </row>
    <row r="91" customFormat="false" ht="15" hidden="false" customHeight="false" outlineLevel="0" collapsed="false">
      <c r="A91" s="0" t="n">
        <v>2025</v>
      </c>
      <c r="B91" s="0" t="n">
        <v>6</v>
      </c>
      <c r="C91" s="0" t="s">
        <v>14</v>
      </c>
      <c r="D91" s="0" t="n">
        <v>21.1</v>
      </c>
      <c r="E91" s="0" t="n">
        <v>12400</v>
      </c>
      <c r="F91" s="0" t="n">
        <v>99.5700000000006</v>
      </c>
      <c r="H91" s="0" t="n">
        <v>0.355</v>
      </c>
      <c r="I91" s="0" t="n">
        <v>35.3473500000002</v>
      </c>
      <c r="J91" s="0" t="n">
        <v>33644</v>
      </c>
      <c r="K91" s="0" t="n">
        <v>11949.42</v>
      </c>
    </row>
    <row r="92" customFormat="false" ht="15" hidden="false" customHeight="false" outlineLevel="0" collapsed="false">
      <c r="A92" s="0" t="n">
        <v>2025</v>
      </c>
      <c r="B92" s="0" t="n">
        <v>7</v>
      </c>
      <c r="C92" s="0" t="s">
        <v>14</v>
      </c>
      <c r="D92" s="0" t="n">
        <v>113</v>
      </c>
      <c r="E92" s="0" t="n">
        <v>79954</v>
      </c>
      <c r="F92" s="0" t="n">
        <v>622.530000000001</v>
      </c>
      <c r="H92" s="0" t="n">
        <v>0.296</v>
      </c>
      <c r="I92" s="0" t="n">
        <v>184.26888</v>
      </c>
      <c r="J92" s="0" t="n">
        <v>51483</v>
      </c>
      <c r="K92" s="0" t="n">
        <v>15262.33</v>
      </c>
    </row>
    <row r="93" customFormat="false" ht="15" hidden="false" customHeight="false" outlineLevel="0" collapsed="false">
      <c r="A93" s="0" t="n">
        <v>2025</v>
      </c>
      <c r="B93" s="0" t="n">
        <v>8</v>
      </c>
      <c r="C93" s="0" t="s">
        <v>14</v>
      </c>
      <c r="D93" s="0" t="n">
        <v>0</v>
      </c>
      <c r="E93" s="0" t="n">
        <v>0</v>
      </c>
      <c r="F93" s="0" t="n">
        <v>24.9299999999994</v>
      </c>
      <c r="H93" s="0" t="n">
        <v>0.3268</v>
      </c>
      <c r="I93" s="0" t="n">
        <v>8.1471239999998</v>
      </c>
      <c r="J93" s="0" t="n">
        <v>17650</v>
      </c>
      <c r="K93" s="0" t="n">
        <v>5768.63</v>
      </c>
    </row>
    <row r="94" customFormat="false" ht="15" hidden="false" customHeight="false" outlineLevel="0" collapsed="false">
      <c r="A94" s="0" t="n">
        <v>2025</v>
      </c>
      <c r="B94" s="0" t="n">
        <v>9</v>
      </c>
      <c r="C94" s="0" t="s">
        <v>14</v>
      </c>
      <c r="D94" s="0" t="n">
        <v>115.01</v>
      </c>
      <c r="E94" s="0" t="n">
        <v>88600</v>
      </c>
      <c r="F94" s="0" t="n">
        <v>786.97</v>
      </c>
      <c r="H94" s="0" t="n">
        <v>0</v>
      </c>
      <c r="I94" s="0" t="n">
        <v>0</v>
      </c>
      <c r="J94" s="0" t="n">
        <v>0</v>
      </c>
      <c r="K94" s="0" t="n">
        <v>0</v>
      </c>
    </row>
    <row r="95" customFormat="false" ht="15" hidden="false" customHeight="false" outlineLevel="0" collapsed="false">
      <c r="A95" s="0" t="n">
        <v>2025</v>
      </c>
      <c r="B95" s="0" t="n">
        <v>10</v>
      </c>
      <c r="C95" s="0" t="s">
        <v>14</v>
      </c>
      <c r="H95" s="0" t="n">
        <v>0</v>
      </c>
      <c r="J95" s="0" t="n">
        <v>0</v>
      </c>
      <c r="K95" s="0" t="n">
        <v>0</v>
      </c>
    </row>
    <row r="96" customFormat="false" ht="15" hidden="false" customHeight="false" outlineLevel="0" collapsed="false">
      <c r="A96" s="0" t="n">
        <v>2025</v>
      </c>
      <c r="B96" s="0" t="n">
        <v>11</v>
      </c>
      <c r="C96" s="0" t="s">
        <v>14</v>
      </c>
      <c r="H96" s="0" t="n">
        <v>0</v>
      </c>
      <c r="J96" s="0" t="n">
        <v>0</v>
      </c>
      <c r="K96" s="0" t="n">
        <v>0</v>
      </c>
    </row>
    <row r="97" customFormat="false" ht="15" hidden="false" customHeight="false" outlineLevel="0" collapsed="false">
      <c r="A97" s="0" t="n">
        <v>2025</v>
      </c>
      <c r="B97" s="0" t="n">
        <v>12</v>
      </c>
      <c r="C97" s="0" t="s">
        <v>14</v>
      </c>
      <c r="H97" s="0" t="n">
        <v>0</v>
      </c>
      <c r="J97" s="0" t="n">
        <v>0</v>
      </c>
      <c r="K97" s="0" t="n">
        <v>0</v>
      </c>
    </row>
    <row r="98" customFormat="false" ht="15" hidden="false" customHeight="false" outlineLevel="0" collapsed="false">
      <c r="A98" s="0" t="n">
        <v>2024</v>
      </c>
      <c r="B98" s="0" t="n">
        <v>1</v>
      </c>
      <c r="C98" s="0" t="s">
        <v>15</v>
      </c>
      <c r="D98" s="0" t="n">
        <v>127.93</v>
      </c>
      <c r="E98" s="0" t="n">
        <v>172860</v>
      </c>
      <c r="H98" s="0" t="n">
        <v>0.2557</v>
      </c>
      <c r="J98" s="0" t="n">
        <v>64934</v>
      </c>
      <c r="K98" s="0" t="n">
        <v>16601.39</v>
      </c>
    </row>
    <row r="99" customFormat="false" ht="15" hidden="false" customHeight="false" outlineLevel="0" collapsed="false">
      <c r="A99" s="0" t="n">
        <v>2024</v>
      </c>
      <c r="B99" s="0" t="n">
        <v>2</v>
      </c>
      <c r="C99" s="0" t="s">
        <v>15</v>
      </c>
      <c r="D99" s="0" t="n">
        <v>102.95</v>
      </c>
      <c r="E99" s="0" t="n">
        <v>61844</v>
      </c>
      <c r="H99" s="0" t="n">
        <v>0.2378</v>
      </c>
      <c r="J99" s="0" t="n">
        <v>71197</v>
      </c>
      <c r="K99" s="0" t="n">
        <v>16934</v>
      </c>
    </row>
    <row r="100" customFormat="false" ht="15" hidden="false" customHeight="false" outlineLevel="0" collapsed="false">
      <c r="A100" s="0" t="n">
        <v>2024</v>
      </c>
      <c r="B100" s="0" t="n">
        <v>3</v>
      </c>
      <c r="C100" s="0" t="s">
        <v>15</v>
      </c>
      <c r="D100" s="0" t="n">
        <v>7.27</v>
      </c>
      <c r="E100" s="0" t="n">
        <v>6400</v>
      </c>
      <c r="H100" s="0" t="n">
        <v>0.2428</v>
      </c>
      <c r="J100" s="0" t="n">
        <v>51152</v>
      </c>
      <c r="K100" s="0" t="n">
        <v>12419.74</v>
      </c>
    </row>
    <row r="101" customFormat="false" ht="15" hidden="false" customHeight="false" outlineLevel="0" collapsed="false">
      <c r="A101" s="0" t="n">
        <v>2024</v>
      </c>
      <c r="B101" s="0" t="n">
        <v>4</v>
      </c>
      <c r="C101" s="0" t="s">
        <v>15</v>
      </c>
      <c r="D101" s="0" t="n">
        <v>48.6</v>
      </c>
      <c r="E101" s="0" t="n">
        <v>81568</v>
      </c>
      <c r="H101" s="0" t="n">
        <v>0.2416</v>
      </c>
      <c r="J101" s="0" t="n">
        <v>45316</v>
      </c>
      <c r="K101" s="0" t="n">
        <v>10948.47</v>
      </c>
    </row>
    <row r="102" customFormat="false" ht="15" hidden="false" customHeight="false" outlineLevel="0" collapsed="false">
      <c r="A102" s="0" t="n">
        <v>2024</v>
      </c>
      <c r="B102" s="0" t="n">
        <v>5</v>
      </c>
      <c r="C102" s="0" t="s">
        <v>15</v>
      </c>
      <c r="D102" s="0" t="n">
        <v>20.81</v>
      </c>
      <c r="E102" s="0" t="n">
        <v>11408</v>
      </c>
      <c r="H102" s="0" t="n">
        <v>0.2507</v>
      </c>
      <c r="J102" s="0" t="n">
        <v>51330</v>
      </c>
      <c r="K102" s="0" t="n">
        <v>12868.58</v>
      </c>
    </row>
    <row r="103" customFormat="false" ht="15" hidden="false" customHeight="false" outlineLevel="0" collapsed="false">
      <c r="A103" s="0" t="n">
        <v>2024</v>
      </c>
      <c r="B103" s="0" t="n">
        <v>6</v>
      </c>
      <c r="C103" s="0" t="s">
        <v>15</v>
      </c>
      <c r="D103" s="0" t="n">
        <v>63.95</v>
      </c>
      <c r="E103" s="0" t="n">
        <v>28352</v>
      </c>
      <c r="H103" s="0" t="n">
        <v>0.2722</v>
      </c>
      <c r="J103" s="0" t="n">
        <v>42151</v>
      </c>
      <c r="K103" s="0" t="n">
        <v>11473.9</v>
      </c>
    </row>
    <row r="104" customFormat="false" ht="15" hidden="false" customHeight="false" outlineLevel="0" collapsed="false">
      <c r="A104" s="0" t="n">
        <v>2024</v>
      </c>
      <c r="B104" s="0" t="n">
        <v>7</v>
      </c>
      <c r="C104" s="0" t="s">
        <v>15</v>
      </c>
      <c r="D104" s="0" t="n">
        <v>87.18</v>
      </c>
      <c r="E104" s="0" t="n">
        <v>60676</v>
      </c>
      <c r="H104" s="0" t="n">
        <v>0.287</v>
      </c>
      <c r="J104" s="0" t="n">
        <v>67581</v>
      </c>
      <c r="K104" s="0" t="n">
        <v>19396.73</v>
      </c>
    </row>
    <row r="105" customFormat="false" ht="15" hidden="false" customHeight="false" outlineLevel="0" collapsed="false">
      <c r="A105" s="0" t="n">
        <v>2024</v>
      </c>
      <c r="B105" s="0" t="n">
        <v>8</v>
      </c>
      <c r="C105" s="0" t="s">
        <v>15</v>
      </c>
      <c r="D105" s="0" t="n">
        <v>64.86</v>
      </c>
      <c r="E105" s="0" t="n">
        <v>20800</v>
      </c>
      <c r="H105" s="0" t="n">
        <v>0.3047</v>
      </c>
      <c r="J105" s="0" t="n">
        <v>44796</v>
      </c>
      <c r="K105" s="0" t="n">
        <v>13651.04</v>
      </c>
    </row>
    <row r="106" customFormat="false" ht="15" hidden="false" customHeight="false" outlineLevel="0" collapsed="false">
      <c r="A106" s="0" t="n">
        <v>2024</v>
      </c>
      <c r="B106" s="0" t="n">
        <v>9</v>
      </c>
      <c r="C106" s="0" t="s">
        <v>15</v>
      </c>
      <c r="D106" s="0" t="n">
        <v>49.66</v>
      </c>
      <c r="E106" s="0" t="n">
        <v>19730</v>
      </c>
      <c r="H106" s="0" t="n">
        <v>0.2904</v>
      </c>
      <c r="J106" s="0" t="n">
        <v>52599</v>
      </c>
      <c r="K106" s="0" t="n">
        <v>15277.15</v>
      </c>
    </row>
    <row r="107" customFormat="false" ht="15" hidden="false" customHeight="false" outlineLevel="0" collapsed="false">
      <c r="A107" s="0" t="n">
        <v>2024</v>
      </c>
      <c r="B107" s="0" t="n">
        <v>10</v>
      </c>
      <c r="C107" s="0" t="s">
        <v>15</v>
      </c>
      <c r="D107" s="0" t="n">
        <v>162.34</v>
      </c>
      <c r="E107" s="0" t="n">
        <v>151024</v>
      </c>
      <c r="H107" s="0" t="n">
        <v>0.2856</v>
      </c>
      <c r="J107" s="0" t="n">
        <v>54362</v>
      </c>
      <c r="K107" s="0" t="n">
        <v>15523.99</v>
      </c>
    </row>
    <row r="108" customFormat="false" ht="15" hidden="false" customHeight="false" outlineLevel="0" collapsed="false">
      <c r="A108" s="0" t="n">
        <v>2024</v>
      </c>
      <c r="B108" s="0" t="n">
        <v>11</v>
      </c>
      <c r="C108" s="0" t="s">
        <v>15</v>
      </c>
      <c r="D108" s="0" t="n">
        <v>9.6</v>
      </c>
      <c r="E108" s="0" t="n">
        <v>6000</v>
      </c>
      <c r="F108" s="0" t="n">
        <v>243.969999999987</v>
      </c>
      <c r="H108" s="0" t="n">
        <v>0.307</v>
      </c>
      <c r="I108" s="0" t="n">
        <v>74.8987899999959</v>
      </c>
      <c r="J108" s="0" t="n">
        <v>64157</v>
      </c>
      <c r="K108" s="0" t="n">
        <v>19751.41</v>
      </c>
    </row>
    <row r="109" customFormat="false" ht="15" hidden="false" customHeight="false" outlineLevel="0" collapsed="false">
      <c r="A109" s="0" t="n">
        <v>2024</v>
      </c>
      <c r="B109" s="0" t="n">
        <v>12</v>
      </c>
      <c r="C109" s="0" t="s">
        <v>15</v>
      </c>
      <c r="D109" s="0" t="n">
        <v>99.3</v>
      </c>
      <c r="E109" s="0" t="n">
        <v>50921</v>
      </c>
      <c r="F109" s="0" t="n">
        <v>836.26999999999</v>
      </c>
      <c r="H109" s="0" t="n">
        <v>0.331</v>
      </c>
      <c r="I109" s="0" t="n">
        <v>276.805369999997</v>
      </c>
      <c r="J109" s="0" t="n">
        <v>51593</v>
      </c>
      <c r="K109" s="0" t="n">
        <v>17063.94</v>
      </c>
    </row>
    <row r="110" customFormat="false" ht="15" hidden="false" customHeight="false" outlineLevel="0" collapsed="false">
      <c r="A110" s="0" t="n">
        <v>2025</v>
      </c>
      <c r="B110" s="0" t="n">
        <v>1</v>
      </c>
      <c r="C110" s="0" t="s">
        <v>15</v>
      </c>
      <c r="D110" s="0" t="n">
        <v>112.9</v>
      </c>
      <c r="E110" s="0" t="n">
        <v>99119</v>
      </c>
      <c r="F110" s="0" t="n">
        <v>1220.5</v>
      </c>
      <c r="H110" s="0" t="n">
        <v>0.335</v>
      </c>
      <c r="I110" s="0" t="n">
        <v>408.8675</v>
      </c>
      <c r="J110" s="0" t="n">
        <v>61904</v>
      </c>
      <c r="K110" s="0" t="n">
        <v>20875.39</v>
      </c>
    </row>
    <row r="111" customFormat="false" ht="15" hidden="false" customHeight="false" outlineLevel="0" collapsed="false">
      <c r="A111" s="0" t="n">
        <v>2025</v>
      </c>
      <c r="B111" s="0" t="n">
        <v>2</v>
      </c>
      <c r="C111" s="0" t="s">
        <v>15</v>
      </c>
      <c r="D111" s="0" t="n">
        <v>129</v>
      </c>
      <c r="E111" s="0" t="n">
        <v>90878</v>
      </c>
      <c r="F111" s="0" t="n">
        <v>838.960000000006</v>
      </c>
      <c r="H111" s="0" t="n">
        <v>0.334</v>
      </c>
      <c r="I111" s="0" t="n">
        <v>280.212640000002</v>
      </c>
      <c r="J111" s="0" t="n">
        <v>60366</v>
      </c>
      <c r="K111" s="0" t="n">
        <v>20173.7</v>
      </c>
    </row>
    <row r="112" customFormat="false" ht="15" hidden="false" customHeight="false" outlineLevel="0" collapsed="false">
      <c r="A112" s="0" t="n">
        <v>2025</v>
      </c>
      <c r="B112" s="0" t="n">
        <v>3</v>
      </c>
      <c r="C112" s="0" t="s">
        <v>15</v>
      </c>
      <c r="D112" s="0" t="n">
        <v>193.5</v>
      </c>
      <c r="E112" s="0" t="n">
        <v>182385</v>
      </c>
      <c r="F112" s="0" t="n">
        <v>1330.61</v>
      </c>
      <c r="H112" s="0" t="n">
        <v>0.286</v>
      </c>
      <c r="I112" s="0" t="n">
        <v>380.55446</v>
      </c>
      <c r="J112" s="0" t="n">
        <v>58209</v>
      </c>
      <c r="K112" s="0" t="n">
        <v>16648.58</v>
      </c>
    </row>
    <row r="113" customFormat="false" ht="15" hidden="false" customHeight="false" outlineLevel="0" collapsed="false">
      <c r="A113" s="0" t="n">
        <v>2025</v>
      </c>
      <c r="B113" s="0" t="n">
        <v>4</v>
      </c>
      <c r="C113" s="0" t="s">
        <v>15</v>
      </c>
      <c r="D113" s="0" t="n">
        <v>27.1</v>
      </c>
      <c r="E113" s="0" t="n">
        <v>22558</v>
      </c>
      <c r="F113" s="0" t="n">
        <v>566.889999999999</v>
      </c>
      <c r="H113" s="0" t="n">
        <v>0.2655</v>
      </c>
      <c r="I113" s="0" t="n">
        <v>150.509295</v>
      </c>
      <c r="J113" s="0" t="n">
        <v>41269</v>
      </c>
      <c r="K113" s="0" t="n">
        <v>10956.7</v>
      </c>
    </row>
    <row r="114" customFormat="false" ht="15" hidden="false" customHeight="false" outlineLevel="0" collapsed="false">
      <c r="A114" s="0" t="n">
        <v>2025</v>
      </c>
      <c r="B114" s="0" t="n">
        <v>5</v>
      </c>
      <c r="C114" s="0" t="s">
        <v>15</v>
      </c>
      <c r="D114" s="0" t="n">
        <v>22.7</v>
      </c>
      <c r="E114" s="0" t="n">
        <v>13000</v>
      </c>
      <c r="F114" s="0" t="n">
        <v>460.459999999992</v>
      </c>
      <c r="H114" s="0" t="n">
        <v>0.2575</v>
      </c>
      <c r="I114" s="0" t="n">
        <v>118.568449999998</v>
      </c>
      <c r="J114" s="0" t="n">
        <v>30809</v>
      </c>
      <c r="K114" s="0" t="n">
        <v>7932.95</v>
      </c>
    </row>
    <row r="115" customFormat="false" ht="15" hidden="false" customHeight="false" outlineLevel="0" collapsed="false">
      <c r="A115" s="0" t="n">
        <v>2025</v>
      </c>
      <c r="B115" s="0" t="n">
        <v>6</v>
      </c>
      <c r="C115" s="0" t="s">
        <v>15</v>
      </c>
      <c r="D115" s="0" t="n">
        <v>66.8</v>
      </c>
      <c r="E115" s="0" t="n">
        <v>36424</v>
      </c>
      <c r="F115" s="0" t="n">
        <v>1011.51000000001</v>
      </c>
      <c r="H115" s="0" t="n">
        <v>0.355</v>
      </c>
      <c r="I115" s="0" t="n">
        <v>359.086050000003</v>
      </c>
      <c r="J115" s="0" t="n">
        <v>33644</v>
      </c>
      <c r="K115" s="0" t="n">
        <v>11949.42</v>
      </c>
    </row>
    <row r="116" customFormat="false" ht="15" hidden="false" customHeight="false" outlineLevel="0" collapsed="false">
      <c r="A116" s="0" t="n">
        <v>2025</v>
      </c>
      <c r="B116" s="0" t="n">
        <v>7</v>
      </c>
      <c r="C116" s="0" t="s">
        <v>15</v>
      </c>
      <c r="D116" s="0" t="n">
        <v>201.7</v>
      </c>
      <c r="E116" s="0" t="n">
        <v>124631</v>
      </c>
      <c r="F116" s="0" t="n">
        <v>1784</v>
      </c>
      <c r="H116" s="0" t="n">
        <v>0.296</v>
      </c>
      <c r="I116" s="0" t="n">
        <v>528.064</v>
      </c>
      <c r="J116" s="0" t="n">
        <v>51483</v>
      </c>
      <c r="K116" s="0" t="n">
        <v>15262.33</v>
      </c>
    </row>
    <row r="117" customFormat="false" ht="15" hidden="false" customHeight="false" outlineLevel="0" collapsed="false">
      <c r="A117" s="0" t="n">
        <v>2025</v>
      </c>
      <c r="B117" s="0" t="n">
        <v>8</v>
      </c>
      <c r="C117" s="0" t="s">
        <v>15</v>
      </c>
      <c r="D117" s="0" t="n">
        <v>18.37</v>
      </c>
      <c r="E117" s="0" t="n">
        <v>9065</v>
      </c>
      <c r="F117" s="0" t="n">
        <v>363.289999999994</v>
      </c>
      <c r="H117" s="0" t="n">
        <v>0.3268</v>
      </c>
      <c r="I117" s="0" t="n">
        <v>118.723171999998</v>
      </c>
      <c r="J117" s="0" t="n">
        <v>17650</v>
      </c>
      <c r="K117" s="0" t="n">
        <v>5768.63</v>
      </c>
    </row>
    <row r="118" customFormat="false" ht="15" hidden="false" customHeight="false" outlineLevel="0" collapsed="false">
      <c r="A118" s="0" t="n">
        <v>2025</v>
      </c>
      <c r="B118" s="0" t="n">
        <v>9</v>
      </c>
      <c r="C118" s="0" t="s">
        <v>15</v>
      </c>
      <c r="D118" s="0" t="n">
        <v>53.02</v>
      </c>
      <c r="E118" s="0" t="n">
        <v>44000</v>
      </c>
      <c r="F118" s="0" t="n">
        <v>752.919999999998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" hidden="false" customHeight="false" outlineLevel="0" collapsed="false">
      <c r="A119" s="0" t="n">
        <v>2025</v>
      </c>
      <c r="B119" s="0" t="n">
        <v>10</v>
      </c>
      <c r="C119" s="0" t="s">
        <v>15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" hidden="false" customHeight="false" outlineLevel="0" collapsed="false">
      <c r="A120" s="0" t="n">
        <v>2025</v>
      </c>
      <c r="B120" s="0" t="n">
        <v>11</v>
      </c>
      <c r="C120" s="0" t="s">
        <v>15</v>
      </c>
      <c r="H120" s="0" t="n">
        <v>0</v>
      </c>
      <c r="I120" s="0" t="n">
        <v>0</v>
      </c>
      <c r="J120" s="0" t="n">
        <v>0</v>
      </c>
      <c r="K120" s="0" t="n">
        <v>0</v>
      </c>
    </row>
    <row r="121" customFormat="false" ht="15" hidden="false" customHeight="false" outlineLevel="0" collapsed="false">
      <c r="A121" s="0" t="n">
        <v>2025</v>
      </c>
      <c r="B121" s="0" t="n">
        <v>12</v>
      </c>
      <c r="C121" s="0" t="s">
        <v>15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" hidden="false" customHeight="false" outlineLevel="0" collapsed="false">
      <c r="A122" s="0" t="n">
        <v>2024</v>
      </c>
      <c r="B122" s="0" t="n">
        <v>1</v>
      </c>
      <c r="C122" s="0" t="s">
        <v>16</v>
      </c>
      <c r="D122" s="0" t="n">
        <v>53.21</v>
      </c>
      <c r="E122" s="0" t="n">
        <v>71235</v>
      </c>
      <c r="H122" s="0" t="n">
        <v>0.2557</v>
      </c>
      <c r="J122" s="0" t="n">
        <v>64934</v>
      </c>
      <c r="K122" s="0" t="n">
        <v>16601.39</v>
      </c>
    </row>
    <row r="123" customFormat="false" ht="15" hidden="false" customHeight="false" outlineLevel="0" collapsed="false">
      <c r="A123" s="0" t="n">
        <v>2024</v>
      </c>
      <c r="B123" s="0" t="n">
        <v>2</v>
      </c>
      <c r="C123" s="0" t="s">
        <v>16</v>
      </c>
      <c r="D123" s="0" t="n">
        <v>7.77</v>
      </c>
      <c r="E123" s="0" t="n">
        <v>11620</v>
      </c>
      <c r="H123" s="0" t="n">
        <v>0.2378</v>
      </c>
      <c r="J123" s="0" t="n">
        <v>71197</v>
      </c>
      <c r="K123" s="0" t="n">
        <v>16934</v>
      </c>
    </row>
    <row r="124" customFormat="false" ht="15" hidden="false" customHeight="false" outlineLevel="0" collapsed="false">
      <c r="A124" s="0" t="n">
        <v>2024</v>
      </c>
      <c r="B124" s="0" t="n">
        <v>3</v>
      </c>
      <c r="C124" s="0" t="s">
        <v>16</v>
      </c>
      <c r="D124" s="0" t="n">
        <v>101.11</v>
      </c>
      <c r="E124" s="0" t="n">
        <v>77660</v>
      </c>
      <c r="H124" s="0" t="n">
        <v>0.2428</v>
      </c>
      <c r="J124" s="0" t="n">
        <v>51152</v>
      </c>
      <c r="K124" s="0" t="n">
        <v>12419.74</v>
      </c>
    </row>
    <row r="125" customFormat="false" ht="15" hidden="false" customHeight="false" outlineLevel="0" collapsed="false">
      <c r="A125" s="0" t="n">
        <v>2024</v>
      </c>
      <c r="B125" s="0" t="n">
        <v>4</v>
      </c>
      <c r="C125" s="0" t="s">
        <v>16</v>
      </c>
      <c r="D125" s="0" t="n">
        <v>40.97</v>
      </c>
      <c r="E125" s="0" t="n">
        <v>60016</v>
      </c>
      <c r="H125" s="0" t="n">
        <v>0.2416</v>
      </c>
      <c r="J125" s="0" t="n">
        <v>45316</v>
      </c>
      <c r="K125" s="0" t="n">
        <v>10948.47</v>
      </c>
    </row>
    <row r="126" customFormat="false" ht="15" hidden="false" customHeight="false" outlineLevel="0" collapsed="false">
      <c r="A126" s="0" t="n">
        <v>2024</v>
      </c>
      <c r="B126" s="0" t="n">
        <v>5</v>
      </c>
      <c r="C126" s="0" t="s">
        <v>16</v>
      </c>
      <c r="D126" s="0" t="n">
        <v>176.24</v>
      </c>
      <c r="E126" s="0" t="n">
        <v>58884</v>
      </c>
      <c r="H126" s="0" t="n">
        <v>0.2507</v>
      </c>
      <c r="J126" s="0" t="n">
        <v>51330</v>
      </c>
      <c r="K126" s="0" t="n">
        <v>12868.58</v>
      </c>
    </row>
    <row r="127" customFormat="false" ht="15" hidden="false" customHeight="false" outlineLevel="0" collapsed="false">
      <c r="A127" s="0" t="n">
        <v>2024</v>
      </c>
      <c r="B127" s="0" t="n">
        <v>6</v>
      </c>
      <c r="C127" s="0" t="s">
        <v>16</v>
      </c>
      <c r="D127" s="0" t="n">
        <v>43.78</v>
      </c>
      <c r="E127" s="0" t="n">
        <v>33600</v>
      </c>
      <c r="H127" s="0" t="n">
        <v>0.2722</v>
      </c>
      <c r="J127" s="0" t="n">
        <v>42151</v>
      </c>
      <c r="K127" s="0" t="n">
        <v>11473.9</v>
      </c>
    </row>
    <row r="128" customFormat="false" ht="15" hidden="false" customHeight="false" outlineLevel="0" collapsed="false">
      <c r="A128" s="0" t="n">
        <v>2024</v>
      </c>
      <c r="B128" s="0" t="n">
        <v>7</v>
      </c>
      <c r="C128" s="0" t="s">
        <v>16</v>
      </c>
      <c r="D128" s="0" t="n">
        <v>102.16</v>
      </c>
      <c r="E128" s="0" t="n">
        <v>81250</v>
      </c>
      <c r="H128" s="0" t="n">
        <v>0.287</v>
      </c>
      <c r="J128" s="0" t="n">
        <v>67581</v>
      </c>
      <c r="K128" s="0" t="n">
        <v>19396.73</v>
      </c>
    </row>
    <row r="129" customFormat="false" ht="15" hidden="false" customHeight="false" outlineLevel="0" collapsed="false">
      <c r="A129" s="0" t="n">
        <v>2024</v>
      </c>
      <c r="B129" s="0" t="n">
        <v>8</v>
      </c>
      <c r="C129" s="0" t="s">
        <v>16</v>
      </c>
      <c r="D129" s="0" t="n">
        <v>16.37</v>
      </c>
      <c r="E129" s="0" t="n">
        <v>13900</v>
      </c>
      <c r="H129" s="0" t="n">
        <v>0.3047</v>
      </c>
      <c r="J129" s="0" t="n">
        <v>44796</v>
      </c>
      <c r="K129" s="0" t="n">
        <v>13651.04</v>
      </c>
    </row>
    <row r="130" customFormat="false" ht="15" hidden="false" customHeight="false" outlineLevel="0" collapsed="false">
      <c r="A130" s="0" t="n">
        <v>2024</v>
      </c>
      <c r="B130" s="0" t="n">
        <v>9</v>
      </c>
      <c r="C130" s="0" t="s">
        <v>16</v>
      </c>
      <c r="D130" s="0" t="n">
        <v>27.76</v>
      </c>
      <c r="E130" s="0" t="n">
        <v>35916</v>
      </c>
      <c r="H130" s="0" t="n">
        <v>0.2904</v>
      </c>
      <c r="J130" s="0" t="n">
        <v>52599</v>
      </c>
      <c r="K130" s="0" t="n">
        <v>15277.15</v>
      </c>
    </row>
    <row r="131" customFormat="false" ht="15" hidden="false" customHeight="false" outlineLevel="0" collapsed="false">
      <c r="A131" s="0" t="n">
        <v>2024</v>
      </c>
      <c r="B131" s="0" t="n">
        <v>10</v>
      </c>
      <c r="C131" s="0" t="s">
        <v>16</v>
      </c>
      <c r="D131" s="0" t="n">
        <v>135.31</v>
      </c>
      <c r="E131" s="0" t="n">
        <v>182384</v>
      </c>
      <c r="H131" s="0" t="n">
        <v>0.2856</v>
      </c>
      <c r="J131" s="0" t="n">
        <v>54362</v>
      </c>
      <c r="K131" s="0" t="n">
        <v>15523.99</v>
      </c>
    </row>
    <row r="132" customFormat="false" ht="15" hidden="false" customHeight="false" outlineLevel="0" collapsed="false">
      <c r="A132" s="0" t="n">
        <v>2024</v>
      </c>
      <c r="B132" s="0" t="n">
        <v>11</v>
      </c>
      <c r="C132" s="0" t="s">
        <v>16</v>
      </c>
      <c r="D132" s="0" t="n">
        <v>86.7</v>
      </c>
      <c r="E132" s="0" t="n">
        <v>80240</v>
      </c>
      <c r="F132" s="0" t="n">
        <v>1109.48</v>
      </c>
      <c r="H132" s="0" t="n">
        <v>0.307</v>
      </c>
      <c r="I132" s="0" t="n">
        <v>340.61036</v>
      </c>
      <c r="J132" s="0" t="n">
        <v>64157</v>
      </c>
      <c r="K132" s="0" t="n">
        <v>19751.41</v>
      </c>
    </row>
    <row r="133" customFormat="false" ht="15" hidden="false" customHeight="false" outlineLevel="0" collapsed="false">
      <c r="A133" s="0" t="n">
        <v>2024</v>
      </c>
      <c r="B133" s="0" t="n">
        <v>12</v>
      </c>
      <c r="C133" s="0" t="s">
        <v>16</v>
      </c>
      <c r="D133" s="0" t="n">
        <v>49.9</v>
      </c>
      <c r="E133" s="0" t="n">
        <v>62800</v>
      </c>
      <c r="F133" s="0" t="n">
        <v>727.99</v>
      </c>
      <c r="H133" s="0" t="n">
        <v>0.331</v>
      </c>
      <c r="I133" s="0" t="n">
        <v>240.96469</v>
      </c>
      <c r="J133" s="0" t="n">
        <v>51593</v>
      </c>
      <c r="K133" s="0" t="n">
        <v>17063.94</v>
      </c>
    </row>
    <row r="134" customFormat="false" ht="15" hidden="false" customHeight="false" outlineLevel="0" collapsed="false">
      <c r="A134" s="0" t="n">
        <v>2025</v>
      </c>
      <c r="B134" s="0" t="n">
        <v>1</v>
      </c>
      <c r="C134" s="0" t="s">
        <v>16</v>
      </c>
      <c r="D134" s="0" t="n">
        <v>50.2</v>
      </c>
      <c r="E134" s="0" t="n">
        <v>56800</v>
      </c>
      <c r="F134" s="0" t="n">
        <v>966.37</v>
      </c>
      <c r="H134" s="0" t="n">
        <v>0.335</v>
      </c>
      <c r="I134" s="0" t="n">
        <v>323.73395</v>
      </c>
      <c r="J134" s="0" t="n">
        <v>61904</v>
      </c>
      <c r="K134" s="0" t="n">
        <v>20875.39</v>
      </c>
    </row>
    <row r="135" customFormat="false" ht="15" hidden="false" customHeight="false" outlineLevel="0" collapsed="false">
      <c r="A135" s="0" t="n">
        <v>2025</v>
      </c>
      <c r="B135" s="0" t="n">
        <v>2</v>
      </c>
      <c r="C135" s="0" t="s">
        <v>16</v>
      </c>
      <c r="D135" s="0" t="n">
        <v>214.2</v>
      </c>
      <c r="E135" s="0" t="n">
        <v>7216</v>
      </c>
      <c r="F135" s="0" t="n">
        <v>768.650000000001</v>
      </c>
      <c r="H135" s="0" t="n">
        <v>0.334</v>
      </c>
      <c r="I135" s="0" t="n">
        <v>256.7291</v>
      </c>
      <c r="J135" s="0" t="n">
        <v>60366</v>
      </c>
      <c r="K135" s="0" t="n">
        <v>20173.7</v>
      </c>
    </row>
    <row r="136" customFormat="false" ht="15" hidden="false" customHeight="false" outlineLevel="0" collapsed="false">
      <c r="A136" s="0" t="n">
        <v>2025</v>
      </c>
      <c r="B136" s="0" t="n">
        <v>3</v>
      </c>
      <c r="C136" s="0" t="s">
        <v>16</v>
      </c>
      <c r="D136" s="0" t="n">
        <v>278.1</v>
      </c>
      <c r="E136" s="0" t="n">
        <v>66544</v>
      </c>
      <c r="F136" s="0" t="n">
        <v>1248.24</v>
      </c>
      <c r="H136" s="0" t="n">
        <v>0.286</v>
      </c>
      <c r="I136" s="0" t="n">
        <v>356.99664</v>
      </c>
      <c r="J136" s="0" t="n">
        <v>58209</v>
      </c>
      <c r="K136" s="0" t="n">
        <v>16648.58</v>
      </c>
    </row>
    <row r="137" customFormat="false" ht="15" hidden="false" customHeight="false" outlineLevel="0" collapsed="false">
      <c r="A137" s="0" t="n">
        <v>2025</v>
      </c>
      <c r="B137" s="0" t="n">
        <v>4</v>
      </c>
      <c r="C137" s="0" t="s">
        <v>16</v>
      </c>
      <c r="D137" s="0" t="n">
        <v>43</v>
      </c>
      <c r="E137" s="0" t="n">
        <v>44400</v>
      </c>
      <c r="F137" s="0" t="n">
        <v>1022.11</v>
      </c>
      <c r="H137" s="0" t="n">
        <v>0.2655</v>
      </c>
      <c r="I137" s="0" t="n">
        <v>271.370205</v>
      </c>
      <c r="J137" s="0" t="n">
        <v>41269</v>
      </c>
      <c r="K137" s="0" t="n">
        <v>10956.7</v>
      </c>
    </row>
    <row r="138" customFormat="false" ht="15" hidden="false" customHeight="false" outlineLevel="0" collapsed="false">
      <c r="A138" s="0" t="n">
        <v>2025</v>
      </c>
      <c r="B138" s="0" t="n">
        <v>5</v>
      </c>
      <c r="C138" s="0" t="s">
        <v>16</v>
      </c>
      <c r="D138" s="0" t="n">
        <v>66</v>
      </c>
      <c r="E138" s="0" t="n">
        <v>45988</v>
      </c>
      <c r="F138" s="0" t="n">
        <v>1035.31</v>
      </c>
      <c r="H138" s="0" t="n">
        <v>0.2575</v>
      </c>
      <c r="I138" s="0" t="n">
        <v>266.592325</v>
      </c>
      <c r="J138" s="0" t="n">
        <v>30809</v>
      </c>
      <c r="K138" s="0" t="n">
        <v>7932.95</v>
      </c>
    </row>
    <row r="139" customFormat="false" ht="15" hidden="false" customHeight="false" outlineLevel="0" collapsed="false">
      <c r="A139" s="0" t="n">
        <v>2025</v>
      </c>
      <c r="B139" s="0" t="n">
        <v>6</v>
      </c>
      <c r="C139" s="0" t="s">
        <v>16</v>
      </c>
      <c r="D139" s="0" t="n">
        <v>30.6</v>
      </c>
      <c r="E139" s="0" t="n">
        <v>25456</v>
      </c>
      <c r="F139" s="0" t="n">
        <v>658.189999999999</v>
      </c>
      <c r="H139" s="0" t="n">
        <v>0.355</v>
      </c>
      <c r="I139" s="0" t="n">
        <v>233.65745</v>
      </c>
      <c r="J139" s="0" t="n">
        <v>33644</v>
      </c>
      <c r="K139" s="0" t="n">
        <v>11949.42</v>
      </c>
    </row>
    <row r="140" customFormat="false" ht="15" hidden="false" customHeight="false" outlineLevel="0" collapsed="false">
      <c r="A140" s="0" t="n">
        <v>2025</v>
      </c>
      <c r="B140" s="0" t="n">
        <v>7</v>
      </c>
      <c r="C140" s="0" t="s">
        <v>16</v>
      </c>
      <c r="D140" s="0" t="n">
        <v>72.5</v>
      </c>
      <c r="E140" s="0" t="n">
        <v>85935</v>
      </c>
      <c r="F140" s="0" t="n">
        <v>1172.1</v>
      </c>
      <c r="H140" s="0" t="n">
        <v>0.296</v>
      </c>
      <c r="I140" s="0" t="n">
        <v>346.9416</v>
      </c>
      <c r="J140" s="0" t="n">
        <v>51483</v>
      </c>
      <c r="K140" s="0" t="n">
        <v>15262.33</v>
      </c>
    </row>
    <row r="141" customFormat="false" ht="15" hidden="false" customHeight="false" outlineLevel="0" collapsed="false">
      <c r="A141" s="0" t="n">
        <v>2025</v>
      </c>
      <c r="B141" s="0" t="n">
        <v>8</v>
      </c>
      <c r="C141" s="0" t="s">
        <v>16</v>
      </c>
      <c r="D141" s="0" t="n">
        <v>20.61</v>
      </c>
      <c r="E141" s="0" t="n">
        <v>18480</v>
      </c>
      <c r="F141" s="0" t="n">
        <v>211.58</v>
      </c>
      <c r="H141" s="0" t="n">
        <v>0.3268</v>
      </c>
      <c r="I141" s="0" t="n">
        <v>69.144344</v>
      </c>
      <c r="J141" s="0" t="n">
        <v>17650</v>
      </c>
      <c r="K141" s="0" t="n">
        <v>5768.63</v>
      </c>
    </row>
    <row r="142" customFormat="false" ht="15" hidden="false" customHeight="false" outlineLevel="0" collapsed="false">
      <c r="A142" s="0" t="n">
        <v>2025</v>
      </c>
      <c r="B142" s="0" t="n">
        <v>9</v>
      </c>
      <c r="C142" s="0" t="s">
        <v>16</v>
      </c>
      <c r="D142" s="0" t="n">
        <v>30.81</v>
      </c>
      <c r="E142" s="0" t="n">
        <v>33648</v>
      </c>
      <c r="F142" s="0" t="n">
        <v>1024.98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" hidden="false" customHeight="false" outlineLevel="0" collapsed="false">
      <c r="A143" s="0" t="n">
        <v>2025</v>
      </c>
      <c r="B143" s="0" t="n">
        <v>10</v>
      </c>
      <c r="C143" s="0" t="s">
        <v>16</v>
      </c>
      <c r="H143" s="0" t="n">
        <v>0</v>
      </c>
      <c r="J143" s="0" t="n">
        <v>0</v>
      </c>
      <c r="K143" s="0" t="n">
        <v>0</v>
      </c>
    </row>
    <row r="144" customFormat="false" ht="15" hidden="false" customHeight="false" outlineLevel="0" collapsed="false">
      <c r="A144" s="0" t="n">
        <v>2025</v>
      </c>
      <c r="B144" s="0" t="n">
        <v>11</v>
      </c>
      <c r="C144" s="0" t="s">
        <v>16</v>
      </c>
      <c r="H144" s="0" t="n">
        <v>0</v>
      </c>
      <c r="J144" s="0" t="n">
        <v>0</v>
      </c>
      <c r="K144" s="0" t="n">
        <v>0</v>
      </c>
    </row>
    <row r="145" customFormat="false" ht="15" hidden="false" customHeight="false" outlineLevel="0" collapsed="false">
      <c r="A145" s="0" t="n">
        <v>2025</v>
      </c>
      <c r="B145" s="0" t="n">
        <v>12</v>
      </c>
      <c r="C145" s="0" t="s">
        <v>16</v>
      </c>
      <c r="H145" s="0" t="n">
        <v>0</v>
      </c>
      <c r="J145" s="0" t="n">
        <v>0</v>
      </c>
      <c r="K145" s="0" t="n">
        <v>0</v>
      </c>
    </row>
    <row r="146" customFormat="false" ht="15" hidden="false" customHeight="false" outlineLevel="0" collapsed="false">
      <c r="A146" s="0" t="n">
        <v>2024</v>
      </c>
      <c r="B146" s="0" t="n">
        <v>1</v>
      </c>
      <c r="C146" s="0" t="s">
        <v>17</v>
      </c>
      <c r="D146" s="0" t="n">
        <v>117.3</v>
      </c>
      <c r="E146" s="0" t="n">
        <v>54560</v>
      </c>
      <c r="H146" s="0" t="n">
        <v>0.2557</v>
      </c>
      <c r="J146" s="0" t="n">
        <v>64934</v>
      </c>
      <c r="K146" s="0" t="n">
        <v>16601.39</v>
      </c>
    </row>
    <row r="147" customFormat="false" ht="15" hidden="false" customHeight="false" outlineLevel="0" collapsed="false">
      <c r="A147" s="0" t="n">
        <v>2024</v>
      </c>
      <c r="B147" s="0" t="n">
        <v>2</v>
      </c>
      <c r="C147" s="0" t="s">
        <v>17</v>
      </c>
      <c r="D147" s="0" t="n">
        <v>187.55</v>
      </c>
      <c r="E147" s="0" t="n">
        <v>82968</v>
      </c>
      <c r="H147" s="0" t="n">
        <v>0.2378</v>
      </c>
      <c r="J147" s="0" t="n">
        <v>71197</v>
      </c>
      <c r="K147" s="0" t="n">
        <v>16934</v>
      </c>
    </row>
    <row r="148" customFormat="false" ht="15" hidden="false" customHeight="false" outlineLevel="0" collapsed="false">
      <c r="A148" s="0" t="n">
        <v>2024</v>
      </c>
      <c r="B148" s="0" t="n">
        <v>3</v>
      </c>
      <c r="C148" s="0" t="s">
        <v>17</v>
      </c>
      <c r="D148" s="0" t="n">
        <v>3.82</v>
      </c>
      <c r="E148" s="0" t="n">
        <v>1872</v>
      </c>
      <c r="H148" s="0" t="n">
        <v>0.2428</v>
      </c>
      <c r="J148" s="0" t="n">
        <v>51152</v>
      </c>
      <c r="K148" s="0" t="n">
        <v>12419.74</v>
      </c>
    </row>
    <row r="149" customFormat="false" ht="15" hidden="false" customHeight="false" outlineLevel="0" collapsed="false">
      <c r="A149" s="0" t="n">
        <v>2024</v>
      </c>
      <c r="B149" s="0" t="n">
        <v>4</v>
      </c>
      <c r="C149" s="0" t="s">
        <v>17</v>
      </c>
      <c r="D149" s="0" t="n">
        <v>41.12</v>
      </c>
      <c r="E149" s="0" t="n">
        <v>3948</v>
      </c>
      <c r="H149" s="0" t="n">
        <v>0.2416</v>
      </c>
      <c r="J149" s="0" t="n">
        <v>45316</v>
      </c>
      <c r="K149" s="0" t="n">
        <v>10948.47</v>
      </c>
    </row>
    <row r="150" customFormat="false" ht="15" hidden="false" customHeight="false" outlineLevel="0" collapsed="false">
      <c r="A150" s="0" t="n">
        <v>2024</v>
      </c>
      <c r="B150" s="0" t="n">
        <v>5</v>
      </c>
      <c r="C150" s="0" t="s">
        <v>17</v>
      </c>
      <c r="D150" s="0" t="n">
        <v>243.62</v>
      </c>
      <c r="E150" s="0" t="n">
        <v>23364</v>
      </c>
      <c r="H150" s="0" t="n">
        <v>0.2507</v>
      </c>
      <c r="J150" s="0" t="n">
        <v>51330</v>
      </c>
      <c r="K150" s="0" t="n">
        <v>12868.58</v>
      </c>
    </row>
    <row r="151" customFormat="false" ht="15" hidden="false" customHeight="false" outlineLevel="0" collapsed="false">
      <c r="A151" s="0" t="n">
        <v>2024</v>
      </c>
      <c r="B151" s="0" t="n">
        <v>6</v>
      </c>
      <c r="C151" s="0" t="s">
        <v>17</v>
      </c>
      <c r="D151" s="0" t="n">
        <v>22.67</v>
      </c>
      <c r="E151" s="0" t="n">
        <v>8150</v>
      </c>
      <c r="H151" s="0" t="n">
        <v>0.2722</v>
      </c>
      <c r="J151" s="0" t="n">
        <v>42151</v>
      </c>
      <c r="K151" s="0" t="n">
        <v>11473.9</v>
      </c>
    </row>
    <row r="152" customFormat="false" ht="15" hidden="false" customHeight="false" outlineLevel="0" collapsed="false">
      <c r="A152" s="0" t="n">
        <v>2024</v>
      </c>
      <c r="B152" s="0" t="n">
        <v>7</v>
      </c>
      <c r="C152" s="0" t="s">
        <v>17</v>
      </c>
      <c r="D152" s="0" t="n">
        <v>198.35</v>
      </c>
      <c r="E152" s="0" t="n">
        <v>47590</v>
      </c>
      <c r="H152" s="0" t="n">
        <v>0.287</v>
      </c>
      <c r="J152" s="0" t="n">
        <v>67581</v>
      </c>
      <c r="K152" s="0" t="n">
        <v>19396.73</v>
      </c>
    </row>
    <row r="153" customFormat="false" ht="15" hidden="false" customHeight="false" outlineLevel="0" collapsed="false">
      <c r="A153" s="0" t="n">
        <v>2024</v>
      </c>
      <c r="B153" s="0" t="n">
        <v>8</v>
      </c>
      <c r="C153" s="0" t="s">
        <v>17</v>
      </c>
      <c r="D153" s="0" t="n">
        <v>35.06</v>
      </c>
      <c r="E153" s="0" t="n">
        <v>17544</v>
      </c>
      <c r="H153" s="0" t="n">
        <v>0.3047</v>
      </c>
      <c r="J153" s="0" t="n">
        <v>44796</v>
      </c>
      <c r="K153" s="0" t="n">
        <v>13651.04</v>
      </c>
    </row>
    <row r="154" customFormat="false" ht="15" hidden="false" customHeight="false" outlineLevel="0" collapsed="false">
      <c r="A154" s="0" t="n">
        <v>2024</v>
      </c>
      <c r="B154" s="0" t="n">
        <v>9</v>
      </c>
      <c r="C154" s="0" t="s">
        <v>17</v>
      </c>
      <c r="D154" s="0" t="n">
        <v>66.39</v>
      </c>
      <c r="E154" s="0" t="n">
        <v>29790</v>
      </c>
      <c r="H154" s="0" t="n">
        <v>0.2904</v>
      </c>
      <c r="J154" s="0" t="n">
        <v>52599</v>
      </c>
      <c r="K154" s="0" t="n">
        <v>15277.15</v>
      </c>
    </row>
    <row r="155" customFormat="false" ht="15" hidden="false" customHeight="false" outlineLevel="0" collapsed="false">
      <c r="A155" s="0" t="n">
        <v>2024</v>
      </c>
      <c r="B155" s="0" t="n">
        <v>10</v>
      </c>
      <c r="C155" s="0" t="s">
        <v>17</v>
      </c>
      <c r="D155" s="0" t="n">
        <v>0</v>
      </c>
      <c r="E155" s="0" t="n">
        <v>0</v>
      </c>
      <c r="H155" s="0" t="n">
        <v>0.2856</v>
      </c>
      <c r="J155" s="0" t="n">
        <v>54362</v>
      </c>
      <c r="K155" s="0" t="n">
        <v>15523.99</v>
      </c>
    </row>
    <row r="156" customFormat="false" ht="15" hidden="false" customHeight="false" outlineLevel="0" collapsed="false">
      <c r="A156" s="0" t="n">
        <v>2024</v>
      </c>
      <c r="B156" s="0" t="n">
        <v>11</v>
      </c>
      <c r="C156" s="0" t="s">
        <v>17</v>
      </c>
      <c r="D156" s="0" t="n">
        <v>145.9</v>
      </c>
      <c r="E156" s="0" t="n">
        <v>67158</v>
      </c>
      <c r="F156" s="0" t="n">
        <v>1373.24</v>
      </c>
      <c r="H156" s="0" t="n">
        <v>0.307</v>
      </c>
      <c r="I156" s="0" t="n">
        <v>421.58468</v>
      </c>
      <c r="J156" s="0" t="n">
        <v>64157</v>
      </c>
      <c r="K156" s="0" t="n">
        <v>19751.41</v>
      </c>
    </row>
    <row r="157" customFormat="false" ht="15" hidden="false" customHeight="false" outlineLevel="0" collapsed="false">
      <c r="A157" s="0" t="n">
        <v>2024</v>
      </c>
      <c r="B157" s="0" t="n">
        <v>12</v>
      </c>
      <c r="C157" s="0" t="s">
        <v>17</v>
      </c>
      <c r="D157" s="0" t="n">
        <v>61</v>
      </c>
      <c r="E157" s="0" t="n">
        <v>26980</v>
      </c>
      <c r="F157" s="0" t="n">
        <v>597.15</v>
      </c>
      <c r="H157" s="0" t="n">
        <v>0.331</v>
      </c>
      <c r="I157" s="0" t="n">
        <v>197.65665</v>
      </c>
      <c r="J157" s="0" t="n">
        <v>51593</v>
      </c>
      <c r="K157" s="0" t="n">
        <v>17063.94</v>
      </c>
    </row>
    <row r="158" customFormat="false" ht="15" hidden="false" customHeight="false" outlineLevel="0" collapsed="false">
      <c r="A158" s="0" t="n">
        <v>2025</v>
      </c>
      <c r="B158" s="0" t="n">
        <v>1</v>
      </c>
      <c r="C158" s="0" t="s">
        <v>17</v>
      </c>
      <c r="D158" s="0" t="n">
        <v>96</v>
      </c>
      <c r="E158" s="0" t="n">
        <v>41000</v>
      </c>
      <c r="F158" s="0" t="n">
        <v>824.66</v>
      </c>
      <c r="H158" s="0" t="n">
        <v>0.335</v>
      </c>
      <c r="I158" s="0" t="n">
        <v>276.2611</v>
      </c>
      <c r="J158" s="0" t="n">
        <v>61904</v>
      </c>
      <c r="K158" s="0" t="n">
        <v>20875.39</v>
      </c>
    </row>
    <row r="159" customFormat="false" ht="15" hidden="false" customHeight="false" outlineLevel="0" collapsed="false">
      <c r="A159" s="0" t="n">
        <v>2025</v>
      </c>
      <c r="B159" s="0" t="n">
        <v>2</v>
      </c>
      <c r="C159" s="0" t="s">
        <v>17</v>
      </c>
      <c r="D159" s="0" t="n">
        <v>66.9</v>
      </c>
      <c r="E159" s="0" t="n">
        <v>21616</v>
      </c>
      <c r="F159" s="0" t="n">
        <v>747.68</v>
      </c>
      <c r="H159" s="0" t="n">
        <v>0.334</v>
      </c>
      <c r="I159" s="0" t="n">
        <v>249.72512</v>
      </c>
      <c r="J159" s="0" t="n">
        <v>60366</v>
      </c>
      <c r="K159" s="0" t="n">
        <v>20173.7</v>
      </c>
    </row>
    <row r="160" customFormat="false" ht="15" hidden="false" customHeight="false" outlineLevel="0" collapsed="false">
      <c r="A160" s="0" t="n">
        <v>2025</v>
      </c>
      <c r="B160" s="0" t="n">
        <v>3</v>
      </c>
      <c r="C160" s="0" t="s">
        <v>17</v>
      </c>
      <c r="D160" s="0" t="n">
        <v>202.5</v>
      </c>
      <c r="E160" s="0" t="n">
        <v>40006</v>
      </c>
      <c r="F160" s="0" t="n">
        <v>1177.48</v>
      </c>
      <c r="H160" s="0" t="n">
        <v>0.286</v>
      </c>
      <c r="I160" s="0" t="n">
        <v>336.75928</v>
      </c>
      <c r="J160" s="0" t="n">
        <v>58209</v>
      </c>
      <c r="K160" s="0" t="n">
        <v>16648.58</v>
      </c>
    </row>
    <row r="161" customFormat="false" ht="15" hidden="false" customHeight="false" outlineLevel="0" collapsed="false">
      <c r="A161" s="0" t="n">
        <v>2025</v>
      </c>
      <c r="B161" s="0" t="n">
        <v>4</v>
      </c>
      <c r="C161" s="0" t="s">
        <v>17</v>
      </c>
      <c r="D161" s="0" t="n">
        <v>124.6</v>
      </c>
      <c r="E161" s="0" t="n">
        <v>22826</v>
      </c>
      <c r="F161" s="0" t="n">
        <v>728.780000000001</v>
      </c>
      <c r="H161" s="0" t="n">
        <v>0.2655</v>
      </c>
      <c r="I161" s="0" t="n">
        <v>193.49109</v>
      </c>
      <c r="J161" s="0" t="n">
        <v>41269</v>
      </c>
      <c r="K161" s="0" t="n">
        <v>10956.7</v>
      </c>
    </row>
    <row r="162" customFormat="false" ht="15" hidden="false" customHeight="false" outlineLevel="0" collapsed="false">
      <c r="A162" s="0" t="n">
        <v>2025</v>
      </c>
      <c r="B162" s="0" t="n">
        <v>5</v>
      </c>
      <c r="C162" s="0" t="s">
        <v>17</v>
      </c>
      <c r="D162" s="0" t="n">
        <v>116.7</v>
      </c>
      <c r="E162" s="0" t="n">
        <v>44200</v>
      </c>
      <c r="F162" s="0" t="n">
        <v>1032.12</v>
      </c>
      <c r="H162" s="0" t="n">
        <v>0.2575</v>
      </c>
      <c r="I162" s="0" t="n">
        <v>265.7709</v>
      </c>
      <c r="J162" s="0" t="n">
        <v>30809</v>
      </c>
      <c r="K162" s="0" t="n">
        <v>7932.95</v>
      </c>
    </row>
    <row r="163" customFormat="false" ht="15" hidden="false" customHeight="false" outlineLevel="0" collapsed="false">
      <c r="A163" s="0" t="n">
        <v>2025</v>
      </c>
      <c r="B163" s="0" t="n">
        <v>6</v>
      </c>
      <c r="C163" s="0" t="s">
        <v>17</v>
      </c>
      <c r="D163" s="0" t="n">
        <v>51.6</v>
      </c>
      <c r="E163" s="0" t="n">
        <v>33550</v>
      </c>
      <c r="F163" s="0" t="n">
        <v>551.61</v>
      </c>
      <c r="H163" s="0" t="n">
        <v>0.355</v>
      </c>
      <c r="I163" s="0" t="n">
        <v>195.82155</v>
      </c>
      <c r="J163" s="0" t="n">
        <v>33644</v>
      </c>
      <c r="K163" s="0" t="n">
        <v>11949.42</v>
      </c>
    </row>
    <row r="164" customFormat="false" ht="15" hidden="false" customHeight="false" outlineLevel="0" collapsed="false">
      <c r="A164" s="0" t="n">
        <v>2025</v>
      </c>
      <c r="B164" s="0" t="n">
        <v>7</v>
      </c>
      <c r="C164" s="0" t="s">
        <v>17</v>
      </c>
      <c r="D164" s="0" t="n">
        <v>32.6</v>
      </c>
      <c r="E164" s="0" t="n">
        <v>41334</v>
      </c>
      <c r="F164" s="0" t="n">
        <v>446.96</v>
      </c>
      <c r="H164" s="0" t="n">
        <v>0.296</v>
      </c>
      <c r="I164" s="0" t="n">
        <v>132.30016</v>
      </c>
      <c r="J164" s="0" t="n">
        <v>51483</v>
      </c>
      <c r="K164" s="0" t="n">
        <v>15262.33</v>
      </c>
    </row>
    <row r="165" customFormat="false" ht="15" hidden="false" customHeight="false" outlineLevel="0" collapsed="false">
      <c r="A165" s="0" t="n">
        <v>2025</v>
      </c>
      <c r="B165" s="0" t="n">
        <v>8</v>
      </c>
      <c r="C165" s="0" t="s">
        <v>17</v>
      </c>
      <c r="D165" s="0" t="n">
        <v>2.08</v>
      </c>
      <c r="E165" s="0" t="n">
        <v>200</v>
      </c>
      <c r="F165" s="0" t="n">
        <v>113.360000000001</v>
      </c>
      <c r="H165" s="0" t="n">
        <v>0.3268</v>
      </c>
      <c r="I165" s="0" t="n">
        <v>37.0460480000002</v>
      </c>
      <c r="J165" s="0" t="n">
        <v>17650</v>
      </c>
      <c r="K165" s="0" t="n">
        <v>5768.63</v>
      </c>
    </row>
    <row r="166" customFormat="false" ht="15" hidden="false" customHeight="false" outlineLevel="0" collapsed="false">
      <c r="A166" s="0" t="n">
        <v>2025</v>
      </c>
      <c r="B166" s="0" t="n">
        <v>9</v>
      </c>
      <c r="C166" s="0" t="s">
        <v>17</v>
      </c>
      <c r="D166" s="0" t="n">
        <v>78.24</v>
      </c>
      <c r="E166" s="0" t="n">
        <v>52692</v>
      </c>
      <c r="F166" s="0" t="n">
        <v>672.85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" hidden="false" customHeight="false" outlineLevel="0" collapsed="false">
      <c r="A167" s="0" t="n">
        <v>2025</v>
      </c>
      <c r="B167" s="0" t="n">
        <v>10</v>
      </c>
      <c r="C167" s="0" t="s">
        <v>17</v>
      </c>
      <c r="H167" s="0" t="n">
        <v>0</v>
      </c>
      <c r="J167" s="0" t="n">
        <v>0</v>
      </c>
      <c r="K167" s="0" t="n">
        <v>0</v>
      </c>
    </row>
    <row r="168" customFormat="false" ht="15" hidden="false" customHeight="false" outlineLevel="0" collapsed="false">
      <c r="A168" s="0" t="n">
        <v>2025</v>
      </c>
      <c r="B168" s="0" t="n">
        <v>11</v>
      </c>
      <c r="C168" s="0" t="s">
        <v>17</v>
      </c>
      <c r="H168" s="0" t="n">
        <v>0</v>
      </c>
      <c r="J168" s="0" t="n">
        <v>0</v>
      </c>
      <c r="K168" s="0" t="n">
        <v>0</v>
      </c>
    </row>
    <row r="169" customFormat="false" ht="15" hidden="false" customHeight="false" outlineLevel="0" collapsed="false">
      <c r="A169" s="0" t="n">
        <v>2025</v>
      </c>
      <c r="B169" s="0" t="n">
        <v>12</v>
      </c>
      <c r="C169" s="0" t="s">
        <v>17</v>
      </c>
      <c r="H169" s="0" t="n">
        <v>0</v>
      </c>
      <c r="J169" s="0" t="n">
        <v>0</v>
      </c>
      <c r="K169" s="0" t="n">
        <v>0</v>
      </c>
    </row>
    <row r="170" customFormat="false" ht="15" hidden="false" customHeight="false" outlineLevel="0" collapsed="false">
      <c r="A170" s="0" t="n">
        <v>2024</v>
      </c>
      <c r="B170" s="0" t="n">
        <v>1</v>
      </c>
      <c r="C170" s="0" t="s">
        <v>18</v>
      </c>
      <c r="D170" s="0" t="n">
        <v>129.86</v>
      </c>
      <c r="E170" s="0" t="n">
        <v>145474</v>
      </c>
      <c r="H170" s="0" t="n">
        <v>0.2557</v>
      </c>
      <c r="J170" s="0" t="n">
        <v>64934</v>
      </c>
      <c r="K170" s="0" t="n">
        <v>16601.39</v>
      </c>
    </row>
    <row r="171" customFormat="false" ht="15" hidden="false" customHeight="false" outlineLevel="0" collapsed="false">
      <c r="A171" s="0" t="n">
        <v>2024</v>
      </c>
      <c r="B171" s="0" t="n">
        <v>2</v>
      </c>
      <c r="C171" s="0" t="s">
        <v>18</v>
      </c>
      <c r="D171" s="0" t="n">
        <v>52.81</v>
      </c>
      <c r="E171" s="0" t="n">
        <v>53208</v>
      </c>
      <c r="H171" s="0" t="n">
        <v>0.2378</v>
      </c>
      <c r="J171" s="0" t="n">
        <v>71197</v>
      </c>
      <c r="K171" s="0" t="n">
        <v>16934</v>
      </c>
    </row>
    <row r="172" customFormat="false" ht="15" hidden="false" customHeight="false" outlineLevel="0" collapsed="false">
      <c r="A172" s="0" t="n">
        <v>2024</v>
      </c>
      <c r="B172" s="0" t="n">
        <v>3</v>
      </c>
      <c r="C172" s="0" t="s">
        <v>18</v>
      </c>
      <c r="D172" s="0" t="n">
        <v>172.01</v>
      </c>
      <c r="E172" s="0" t="n">
        <v>61792</v>
      </c>
      <c r="H172" s="0" t="n">
        <v>0.2428</v>
      </c>
      <c r="J172" s="0" t="n">
        <v>51152</v>
      </c>
      <c r="K172" s="0" t="n">
        <v>12419.74</v>
      </c>
    </row>
    <row r="173" customFormat="false" ht="15" hidden="false" customHeight="false" outlineLevel="0" collapsed="false">
      <c r="A173" s="0" t="n">
        <v>2024</v>
      </c>
      <c r="B173" s="0" t="n">
        <v>4</v>
      </c>
      <c r="C173" s="0" t="s">
        <v>18</v>
      </c>
      <c r="D173" s="0" t="n">
        <v>9.83</v>
      </c>
      <c r="E173" s="0" t="n">
        <v>5000</v>
      </c>
      <c r="H173" s="0" t="n">
        <v>0.2416</v>
      </c>
      <c r="J173" s="0" t="n">
        <v>45316</v>
      </c>
      <c r="K173" s="0" t="n">
        <v>10948.47</v>
      </c>
    </row>
    <row r="174" customFormat="false" ht="15" hidden="false" customHeight="false" outlineLevel="0" collapsed="false">
      <c r="A174" s="0" t="n">
        <v>2024</v>
      </c>
      <c r="B174" s="0" t="n">
        <v>5</v>
      </c>
      <c r="C174" s="0" t="s">
        <v>18</v>
      </c>
      <c r="D174" s="0" t="n">
        <v>37.41</v>
      </c>
      <c r="E174" s="0" t="n">
        <v>17596</v>
      </c>
      <c r="H174" s="0" t="n">
        <v>0.2507</v>
      </c>
      <c r="J174" s="0" t="n">
        <v>51330</v>
      </c>
      <c r="K174" s="0" t="n">
        <v>12868.58</v>
      </c>
    </row>
    <row r="175" customFormat="false" ht="15" hidden="false" customHeight="false" outlineLevel="0" collapsed="false">
      <c r="A175" s="0" t="n">
        <v>2024</v>
      </c>
      <c r="B175" s="0" t="n">
        <v>6</v>
      </c>
      <c r="C175" s="0" t="s">
        <v>18</v>
      </c>
      <c r="D175" s="0" t="n">
        <v>34.11</v>
      </c>
      <c r="E175" s="0" t="n">
        <v>6200</v>
      </c>
      <c r="H175" s="0" t="n">
        <v>0.2722</v>
      </c>
      <c r="J175" s="0" t="n">
        <v>42151</v>
      </c>
      <c r="K175" s="0" t="n">
        <v>11473.9</v>
      </c>
    </row>
    <row r="176" customFormat="false" ht="15" hidden="false" customHeight="false" outlineLevel="0" collapsed="false">
      <c r="A176" s="0" t="n">
        <v>2024</v>
      </c>
      <c r="B176" s="0" t="n">
        <v>7</v>
      </c>
      <c r="C176" s="0" t="s">
        <v>18</v>
      </c>
      <c r="D176" s="0" t="n">
        <v>20.08</v>
      </c>
      <c r="E176" s="0" t="n">
        <v>9210</v>
      </c>
      <c r="H176" s="0" t="n">
        <v>0.287</v>
      </c>
      <c r="J176" s="0" t="n">
        <v>67581</v>
      </c>
      <c r="K176" s="0" t="n">
        <v>19396.73</v>
      </c>
    </row>
    <row r="177" customFormat="false" ht="15" hidden="false" customHeight="false" outlineLevel="0" collapsed="false">
      <c r="A177" s="0" t="n">
        <v>2024</v>
      </c>
      <c r="B177" s="0" t="n">
        <v>8</v>
      </c>
      <c r="C177" s="0" t="s">
        <v>18</v>
      </c>
      <c r="D177" s="0" t="n">
        <v>84.86</v>
      </c>
      <c r="E177" s="0" t="n">
        <v>38850</v>
      </c>
      <c r="H177" s="0" t="n">
        <v>0.3047</v>
      </c>
      <c r="J177" s="0" t="n">
        <v>44796</v>
      </c>
      <c r="K177" s="0" t="n">
        <v>13651.04</v>
      </c>
    </row>
    <row r="178" customFormat="false" ht="15" hidden="false" customHeight="false" outlineLevel="0" collapsed="false">
      <c r="A178" s="0" t="n">
        <v>2024</v>
      </c>
      <c r="B178" s="0" t="n">
        <v>9</v>
      </c>
      <c r="C178" s="0" t="s">
        <v>18</v>
      </c>
      <c r="D178" s="0" t="n">
        <v>52.05</v>
      </c>
      <c r="E178" s="0" t="n">
        <v>22439</v>
      </c>
      <c r="H178" s="0" t="n">
        <v>0.2904</v>
      </c>
      <c r="J178" s="0" t="n">
        <v>52599</v>
      </c>
      <c r="K178" s="0" t="n">
        <v>15277.15</v>
      </c>
    </row>
    <row r="179" customFormat="false" ht="15" hidden="false" customHeight="false" outlineLevel="0" collapsed="false">
      <c r="A179" s="0" t="n">
        <v>2024</v>
      </c>
      <c r="B179" s="0" t="n">
        <v>10</v>
      </c>
      <c r="C179" s="0" t="s">
        <v>18</v>
      </c>
      <c r="D179" s="0" t="n">
        <v>51.1</v>
      </c>
      <c r="E179" s="0" t="n">
        <v>22392</v>
      </c>
      <c r="H179" s="0" t="n">
        <v>0.2856</v>
      </c>
      <c r="J179" s="0" t="n">
        <v>54362</v>
      </c>
      <c r="K179" s="0" t="n">
        <v>15523.99</v>
      </c>
    </row>
    <row r="180" customFormat="false" ht="15" hidden="false" customHeight="false" outlineLevel="0" collapsed="false">
      <c r="A180" s="0" t="n">
        <v>2024</v>
      </c>
      <c r="B180" s="0" t="n">
        <v>11</v>
      </c>
      <c r="C180" s="0" t="s">
        <v>18</v>
      </c>
      <c r="D180" s="0" t="n">
        <v>175.2</v>
      </c>
      <c r="E180" s="0" t="n">
        <v>86620</v>
      </c>
      <c r="F180" s="0" t="n">
        <v>1496.8</v>
      </c>
      <c r="H180" s="0" t="n">
        <v>0.307</v>
      </c>
      <c r="I180" s="0" t="n">
        <v>459.5176</v>
      </c>
      <c r="J180" s="0" t="n">
        <v>64157</v>
      </c>
      <c r="K180" s="0" t="n">
        <v>19751.41</v>
      </c>
    </row>
    <row r="181" customFormat="false" ht="15" hidden="false" customHeight="false" outlineLevel="0" collapsed="false">
      <c r="A181" s="0" t="n">
        <v>2024</v>
      </c>
      <c r="B181" s="0" t="n">
        <v>12</v>
      </c>
      <c r="C181" s="0" t="s">
        <v>18</v>
      </c>
      <c r="D181" s="0" t="n">
        <v>103.7</v>
      </c>
      <c r="E181" s="0" t="n">
        <v>60888</v>
      </c>
      <c r="F181" s="0" t="n">
        <v>1222.84</v>
      </c>
      <c r="H181" s="0" t="n">
        <v>0.331</v>
      </c>
      <c r="I181" s="0" t="n">
        <v>404.76004</v>
      </c>
      <c r="J181" s="0" t="n">
        <v>51593</v>
      </c>
      <c r="K181" s="0" t="n">
        <v>17063.94</v>
      </c>
    </row>
    <row r="182" customFormat="false" ht="15" hidden="false" customHeight="false" outlineLevel="0" collapsed="false">
      <c r="A182" s="0" t="n">
        <v>2025</v>
      </c>
      <c r="B182" s="0" t="n">
        <v>1</v>
      </c>
      <c r="C182" s="0" t="s">
        <v>18</v>
      </c>
      <c r="D182" s="0" t="n">
        <v>130.7</v>
      </c>
      <c r="E182" s="0" t="n">
        <v>35268</v>
      </c>
      <c r="F182" s="0" t="n">
        <v>828.56</v>
      </c>
      <c r="H182" s="0" t="n">
        <v>0.335</v>
      </c>
      <c r="I182" s="0" t="n">
        <v>277.5676</v>
      </c>
      <c r="J182" s="0" t="n">
        <v>61904</v>
      </c>
      <c r="K182" s="0" t="n">
        <v>20875.39</v>
      </c>
    </row>
    <row r="183" customFormat="false" ht="15" hidden="false" customHeight="false" outlineLevel="0" collapsed="false">
      <c r="A183" s="0" t="n">
        <v>2025</v>
      </c>
      <c r="B183" s="0" t="n">
        <v>2</v>
      </c>
      <c r="C183" s="0" t="s">
        <v>18</v>
      </c>
      <c r="D183" s="0" t="n">
        <v>39.5</v>
      </c>
      <c r="E183" s="0" t="n">
        <v>10207</v>
      </c>
      <c r="F183" s="0" t="n">
        <v>644.72</v>
      </c>
      <c r="H183" s="0" t="n">
        <v>0.334</v>
      </c>
      <c r="I183" s="0" t="n">
        <v>215.33648</v>
      </c>
      <c r="J183" s="0" t="n">
        <v>60366</v>
      </c>
      <c r="K183" s="0" t="n">
        <v>20173.7</v>
      </c>
    </row>
    <row r="184" customFormat="false" ht="15" hidden="false" customHeight="false" outlineLevel="0" collapsed="false">
      <c r="A184" s="0" t="n">
        <v>2025</v>
      </c>
      <c r="B184" s="0" t="n">
        <v>3</v>
      </c>
      <c r="C184" s="0" t="s">
        <v>18</v>
      </c>
      <c r="D184" s="0" t="n">
        <v>74.3</v>
      </c>
      <c r="E184" s="0" t="n">
        <v>36000</v>
      </c>
      <c r="F184" s="0" t="n">
        <v>1169.04</v>
      </c>
      <c r="H184" s="0" t="n">
        <v>0.286</v>
      </c>
      <c r="I184" s="0" t="n">
        <v>334.34544</v>
      </c>
      <c r="J184" s="0" t="n">
        <v>58209</v>
      </c>
      <c r="K184" s="0" t="n">
        <v>16648.58</v>
      </c>
    </row>
    <row r="185" customFormat="false" ht="15" hidden="false" customHeight="false" outlineLevel="0" collapsed="false">
      <c r="A185" s="0" t="n">
        <v>2025</v>
      </c>
      <c r="B185" s="0" t="n">
        <v>4</v>
      </c>
      <c r="C185" s="0" t="s">
        <v>18</v>
      </c>
      <c r="D185" s="0" t="n">
        <v>47.6</v>
      </c>
      <c r="E185" s="0" t="n">
        <v>26552</v>
      </c>
      <c r="F185" s="0" t="n">
        <v>911.759999999999</v>
      </c>
      <c r="H185" s="0" t="n">
        <v>0.2655</v>
      </c>
      <c r="I185" s="0" t="n">
        <v>242.07228</v>
      </c>
      <c r="J185" s="0" t="n">
        <v>41269</v>
      </c>
      <c r="K185" s="0" t="n">
        <v>10956.7</v>
      </c>
    </row>
    <row r="186" customFormat="false" ht="15" hidden="false" customHeight="false" outlineLevel="0" collapsed="false">
      <c r="A186" s="0" t="n">
        <v>2025</v>
      </c>
      <c r="B186" s="0" t="n">
        <v>5</v>
      </c>
      <c r="C186" s="0" t="s">
        <v>18</v>
      </c>
      <c r="D186" s="0" t="n">
        <v>0</v>
      </c>
      <c r="E186" s="0" t="n">
        <v>0</v>
      </c>
      <c r="F186" s="0" t="n">
        <v>341.740000000001</v>
      </c>
      <c r="H186" s="0" t="n">
        <v>0.2575</v>
      </c>
      <c r="I186" s="0" t="n">
        <v>87.9980500000002</v>
      </c>
      <c r="J186" s="0" t="n">
        <v>30809</v>
      </c>
      <c r="K186" s="0" t="n">
        <v>7932.95</v>
      </c>
    </row>
    <row r="187" customFormat="false" ht="15" hidden="false" customHeight="false" outlineLevel="0" collapsed="false">
      <c r="A187" s="0" t="n">
        <v>2025</v>
      </c>
      <c r="B187" s="0" t="n">
        <v>6</v>
      </c>
      <c r="C187" s="0" t="s">
        <v>18</v>
      </c>
      <c r="D187" s="0" t="n">
        <v>47.1</v>
      </c>
      <c r="E187" s="0" t="n">
        <v>14836</v>
      </c>
      <c r="F187" s="0" t="n">
        <v>711.03</v>
      </c>
      <c r="H187" s="0" t="n">
        <v>0.355</v>
      </c>
      <c r="I187" s="0" t="n">
        <v>252.41565</v>
      </c>
      <c r="J187" s="0" t="n">
        <v>33644</v>
      </c>
      <c r="K187" s="0" t="n">
        <v>11949.42</v>
      </c>
    </row>
    <row r="188" customFormat="false" ht="15" hidden="false" customHeight="false" outlineLevel="0" collapsed="false">
      <c r="A188" s="0" t="n">
        <v>2025</v>
      </c>
      <c r="B188" s="0" t="n">
        <v>7</v>
      </c>
      <c r="C188" s="0" t="s">
        <v>18</v>
      </c>
      <c r="D188" s="0" t="n">
        <v>56.1</v>
      </c>
      <c r="E188" s="0" t="n">
        <v>46226</v>
      </c>
      <c r="F188" s="0" t="n">
        <v>601.34</v>
      </c>
      <c r="H188" s="0" t="n">
        <v>0.296</v>
      </c>
      <c r="I188" s="0" t="n">
        <v>177.99664</v>
      </c>
      <c r="J188" s="0" t="n">
        <v>51483</v>
      </c>
      <c r="K188" s="0" t="n">
        <v>15262.33</v>
      </c>
    </row>
    <row r="189" customFormat="false" ht="15" hidden="false" customHeight="false" outlineLevel="0" collapsed="false">
      <c r="A189" s="0" t="n">
        <v>2025</v>
      </c>
      <c r="B189" s="0" t="n">
        <v>8</v>
      </c>
      <c r="C189" s="0" t="s">
        <v>18</v>
      </c>
      <c r="D189" s="0" t="n">
        <v>53.68</v>
      </c>
      <c r="E189" s="0" t="n">
        <v>51700</v>
      </c>
      <c r="F189" s="0" t="n">
        <v>238.85</v>
      </c>
      <c r="H189" s="0" t="n">
        <v>0.3268</v>
      </c>
      <c r="I189" s="0" t="n">
        <v>78.0561800000001</v>
      </c>
      <c r="J189" s="0" t="n">
        <v>17650</v>
      </c>
      <c r="K189" s="0" t="n">
        <v>5768.63</v>
      </c>
    </row>
    <row r="190" customFormat="false" ht="15" hidden="false" customHeight="false" outlineLevel="0" collapsed="false">
      <c r="A190" s="0" t="n">
        <v>2025</v>
      </c>
      <c r="B190" s="0" t="n">
        <v>9</v>
      </c>
      <c r="C190" s="0" t="s">
        <v>18</v>
      </c>
      <c r="D190" s="0" t="n">
        <v>220.84</v>
      </c>
      <c r="E190" s="0" t="n">
        <v>174681</v>
      </c>
      <c r="F190" s="0" t="n">
        <v>1110.88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" hidden="false" customHeight="false" outlineLevel="0" collapsed="false">
      <c r="A191" s="0" t="n">
        <v>2025</v>
      </c>
      <c r="B191" s="0" t="n">
        <v>10</v>
      </c>
      <c r="C191" s="0" t="s">
        <v>18</v>
      </c>
      <c r="H191" s="0" t="n">
        <v>0</v>
      </c>
      <c r="J191" s="0" t="n">
        <v>0</v>
      </c>
      <c r="K191" s="0" t="n">
        <v>0</v>
      </c>
    </row>
    <row r="192" customFormat="false" ht="15" hidden="false" customHeight="false" outlineLevel="0" collapsed="false">
      <c r="A192" s="0" t="n">
        <v>2025</v>
      </c>
      <c r="B192" s="0" t="n">
        <v>11</v>
      </c>
      <c r="C192" s="0" t="s">
        <v>18</v>
      </c>
      <c r="H192" s="0" t="n">
        <v>0</v>
      </c>
      <c r="J192" s="0" t="n">
        <v>0</v>
      </c>
      <c r="K192" s="0" t="n">
        <v>0</v>
      </c>
    </row>
    <row r="193" customFormat="false" ht="15" hidden="false" customHeight="false" outlineLevel="0" collapsed="false">
      <c r="A193" s="0" t="n">
        <v>2025</v>
      </c>
      <c r="B193" s="0" t="n">
        <v>12</v>
      </c>
      <c r="C193" s="0" t="s">
        <v>18</v>
      </c>
      <c r="H193" s="0" t="n">
        <v>0</v>
      </c>
      <c r="J193" s="0" t="n">
        <v>0</v>
      </c>
      <c r="K193" s="0" t="n">
        <v>0</v>
      </c>
    </row>
    <row r="194" customFormat="false" ht="15" hidden="false" customHeight="false" outlineLevel="0" collapsed="false">
      <c r="A194" s="0" t="n">
        <v>2024</v>
      </c>
      <c r="B194" s="0" t="n">
        <v>1</v>
      </c>
      <c r="C194" s="0" t="s">
        <v>19</v>
      </c>
      <c r="D194" s="0" t="n">
        <v>93.13</v>
      </c>
      <c r="E194" s="0" t="n">
        <v>56800</v>
      </c>
      <c r="H194" s="0" t="n">
        <v>0.2557</v>
      </c>
      <c r="J194" s="0" t="n">
        <v>64934</v>
      </c>
      <c r="K194" s="0" t="n">
        <v>16601.39</v>
      </c>
    </row>
    <row r="195" customFormat="false" ht="15" hidden="false" customHeight="false" outlineLevel="0" collapsed="false">
      <c r="A195" s="0" t="n">
        <v>2024</v>
      </c>
      <c r="B195" s="0" t="n">
        <v>2</v>
      </c>
      <c r="C195" s="0" t="s">
        <v>19</v>
      </c>
      <c r="D195" s="0" t="n">
        <v>46.78</v>
      </c>
      <c r="E195" s="0" t="n">
        <v>47188</v>
      </c>
      <c r="H195" s="0" t="n">
        <v>0.2378</v>
      </c>
      <c r="J195" s="0" t="n">
        <v>71197</v>
      </c>
      <c r="K195" s="0" t="n">
        <v>16934</v>
      </c>
    </row>
    <row r="196" customFormat="false" ht="15" hidden="false" customHeight="false" outlineLevel="0" collapsed="false">
      <c r="A196" s="0" t="n">
        <v>2024</v>
      </c>
      <c r="B196" s="0" t="n">
        <v>3</v>
      </c>
      <c r="C196" s="0" t="s">
        <v>19</v>
      </c>
      <c r="D196" s="0" t="n">
        <v>70.5</v>
      </c>
      <c r="E196" s="0" t="n">
        <v>13740</v>
      </c>
      <c r="H196" s="0" t="n">
        <v>0.2428</v>
      </c>
      <c r="J196" s="0" t="n">
        <v>51152</v>
      </c>
      <c r="K196" s="0" t="n">
        <v>12419.74</v>
      </c>
    </row>
    <row r="197" customFormat="false" ht="15" hidden="false" customHeight="false" outlineLevel="0" collapsed="false">
      <c r="A197" s="0" t="n">
        <v>2024</v>
      </c>
      <c r="B197" s="0" t="n">
        <v>4</v>
      </c>
      <c r="C197" s="0" t="s">
        <v>19</v>
      </c>
      <c r="D197" s="0" t="n">
        <v>12.87</v>
      </c>
      <c r="E197" s="0" t="n">
        <v>2766</v>
      </c>
      <c r="H197" s="0" t="n">
        <v>0.2416</v>
      </c>
      <c r="J197" s="0" t="n">
        <v>45316</v>
      </c>
      <c r="K197" s="0" t="n">
        <v>10948.47</v>
      </c>
    </row>
    <row r="198" customFormat="false" ht="15" hidden="false" customHeight="false" outlineLevel="0" collapsed="false">
      <c r="A198" s="0" t="n">
        <v>2024</v>
      </c>
      <c r="B198" s="0" t="n">
        <v>5</v>
      </c>
      <c r="C198" s="0" t="s">
        <v>19</v>
      </c>
      <c r="D198" s="0" t="n">
        <v>0.11</v>
      </c>
      <c r="E198" s="0" t="n">
        <v>24</v>
      </c>
      <c r="H198" s="0" t="n">
        <v>0.2507</v>
      </c>
      <c r="J198" s="0" t="n">
        <v>51330</v>
      </c>
      <c r="K198" s="0" t="n">
        <v>12868.58</v>
      </c>
    </row>
    <row r="199" customFormat="false" ht="15" hidden="false" customHeight="false" outlineLevel="0" collapsed="false">
      <c r="A199" s="0" t="n">
        <v>2024</v>
      </c>
      <c r="B199" s="0" t="n">
        <v>6</v>
      </c>
      <c r="C199" s="0" t="s">
        <v>19</v>
      </c>
      <c r="D199" s="0" t="n">
        <v>0.43</v>
      </c>
      <c r="E199" s="0" t="n">
        <v>248</v>
      </c>
      <c r="H199" s="0" t="n">
        <v>0.2722</v>
      </c>
      <c r="J199" s="0" t="n">
        <v>42151</v>
      </c>
      <c r="K199" s="0" t="n">
        <v>11473.9</v>
      </c>
    </row>
    <row r="200" customFormat="false" ht="15" hidden="false" customHeight="false" outlineLevel="0" collapsed="false">
      <c r="A200" s="0" t="n">
        <v>2024</v>
      </c>
      <c r="B200" s="0" t="n">
        <v>7</v>
      </c>
      <c r="C200" s="0" t="s">
        <v>19</v>
      </c>
      <c r="D200" s="0" t="n">
        <v>29.16</v>
      </c>
      <c r="E200" s="0" t="n">
        <v>25648</v>
      </c>
      <c r="H200" s="0" t="n">
        <v>0.287</v>
      </c>
      <c r="J200" s="0" t="n">
        <v>67581</v>
      </c>
      <c r="K200" s="0" t="n">
        <v>19396.73</v>
      </c>
    </row>
    <row r="201" customFormat="false" ht="15" hidden="false" customHeight="false" outlineLevel="0" collapsed="false">
      <c r="A201" s="0" t="n">
        <v>2024</v>
      </c>
      <c r="B201" s="0" t="n">
        <v>8</v>
      </c>
      <c r="C201" s="0" t="s">
        <v>19</v>
      </c>
      <c r="D201" s="0" t="n">
        <v>32.63</v>
      </c>
      <c r="E201" s="0" t="n">
        <v>8515</v>
      </c>
      <c r="H201" s="0" t="n">
        <v>0.3047</v>
      </c>
      <c r="J201" s="0" t="n">
        <v>44796</v>
      </c>
      <c r="K201" s="0" t="n">
        <v>13651.04</v>
      </c>
    </row>
    <row r="202" customFormat="false" ht="15" hidden="false" customHeight="false" outlineLevel="0" collapsed="false">
      <c r="A202" s="0" t="n">
        <v>2024</v>
      </c>
      <c r="B202" s="0" t="n">
        <v>9</v>
      </c>
      <c r="C202" s="0" t="s">
        <v>19</v>
      </c>
      <c r="D202" s="0" t="n">
        <v>53.67</v>
      </c>
      <c r="E202" s="0" t="n">
        <v>26900</v>
      </c>
      <c r="H202" s="0" t="n">
        <v>0.2904</v>
      </c>
      <c r="J202" s="0" t="n">
        <v>52599</v>
      </c>
      <c r="K202" s="0" t="n">
        <v>15277.15</v>
      </c>
    </row>
    <row r="203" customFormat="false" ht="15" hidden="false" customHeight="false" outlineLevel="0" collapsed="false">
      <c r="A203" s="0" t="n">
        <v>2024</v>
      </c>
      <c r="B203" s="0" t="n">
        <v>10</v>
      </c>
      <c r="C203" s="0" t="s">
        <v>19</v>
      </c>
      <c r="D203" s="0" t="n">
        <v>35.61</v>
      </c>
      <c r="E203" s="0" t="n">
        <v>14098</v>
      </c>
      <c r="H203" s="0" t="n">
        <v>0.2856</v>
      </c>
      <c r="J203" s="0" t="n">
        <v>54362</v>
      </c>
      <c r="K203" s="0" t="n">
        <v>15523.99</v>
      </c>
    </row>
    <row r="204" customFormat="false" ht="15" hidden="false" customHeight="false" outlineLevel="0" collapsed="false">
      <c r="A204" s="0" t="n">
        <v>2024</v>
      </c>
      <c r="B204" s="0" t="n">
        <v>11</v>
      </c>
      <c r="C204" s="0" t="s">
        <v>19</v>
      </c>
      <c r="D204" s="0" t="n">
        <v>121.9</v>
      </c>
      <c r="E204" s="0" t="n">
        <v>31407</v>
      </c>
      <c r="F204" s="0" t="n">
        <v>835.77</v>
      </c>
      <c r="H204" s="0" t="n">
        <v>0.307</v>
      </c>
      <c r="I204" s="0" t="n">
        <v>256.58139</v>
      </c>
      <c r="J204" s="0" t="n">
        <v>64157</v>
      </c>
      <c r="K204" s="0" t="n">
        <v>19751.41</v>
      </c>
    </row>
    <row r="205" customFormat="false" ht="15" hidden="false" customHeight="false" outlineLevel="0" collapsed="false">
      <c r="A205" s="0" t="n">
        <v>2024</v>
      </c>
      <c r="B205" s="0" t="n">
        <v>12</v>
      </c>
      <c r="C205" s="0" t="s">
        <v>19</v>
      </c>
      <c r="D205" s="0" t="n">
        <v>72</v>
      </c>
      <c r="E205" s="0" t="n">
        <v>48221</v>
      </c>
      <c r="F205" s="0" t="n">
        <v>578.67</v>
      </c>
      <c r="H205" s="0" t="n">
        <v>0.331</v>
      </c>
      <c r="I205" s="0" t="n">
        <v>191.53977</v>
      </c>
      <c r="J205" s="0" t="n">
        <v>51593</v>
      </c>
      <c r="K205" s="0" t="n">
        <v>17063.94</v>
      </c>
    </row>
    <row r="206" customFormat="false" ht="15" hidden="false" customHeight="false" outlineLevel="0" collapsed="false">
      <c r="A206" s="0" t="n">
        <v>2025</v>
      </c>
      <c r="B206" s="0" t="n">
        <v>1</v>
      </c>
      <c r="C206" s="0" t="s">
        <v>19</v>
      </c>
      <c r="D206" s="0" t="n">
        <v>147.6</v>
      </c>
      <c r="E206" s="0" t="n">
        <v>67400</v>
      </c>
      <c r="F206" s="0" t="n">
        <v>910.71</v>
      </c>
      <c r="H206" s="0" t="n">
        <v>0.335</v>
      </c>
      <c r="I206" s="0" t="n">
        <v>305.08785</v>
      </c>
      <c r="J206" s="0" t="n">
        <v>61904</v>
      </c>
      <c r="K206" s="0" t="n">
        <v>20875.39</v>
      </c>
    </row>
    <row r="207" customFormat="false" ht="15" hidden="false" customHeight="false" outlineLevel="0" collapsed="false">
      <c r="A207" s="0" t="n">
        <v>2025</v>
      </c>
      <c r="B207" s="0" t="n">
        <v>2</v>
      </c>
      <c r="C207" s="0" t="s">
        <v>19</v>
      </c>
      <c r="D207" s="0" t="n">
        <v>37.1</v>
      </c>
      <c r="E207" s="0" t="n">
        <v>23510</v>
      </c>
      <c r="F207" s="0" t="n">
        <v>770.35</v>
      </c>
      <c r="H207" s="0" t="n">
        <v>0.334</v>
      </c>
      <c r="I207" s="0" t="n">
        <v>257.2969</v>
      </c>
      <c r="J207" s="0" t="n">
        <v>60366</v>
      </c>
      <c r="K207" s="0" t="n">
        <v>20173.7</v>
      </c>
    </row>
    <row r="208" customFormat="false" ht="15" hidden="false" customHeight="false" outlineLevel="0" collapsed="false">
      <c r="A208" s="0" t="n">
        <v>2025</v>
      </c>
      <c r="B208" s="0" t="n">
        <v>3</v>
      </c>
      <c r="C208" s="0" t="s">
        <v>19</v>
      </c>
      <c r="D208" s="0" t="n">
        <v>77.5</v>
      </c>
      <c r="E208" s="0" t="n">
        <v>11300</v>
      </c>
      <c r="F208" s="0" t="n">
        <v>1060.23</v>
      </c>
      <c r="H208" s="0" t="n">
        <v>0.286</v>
      </c>
      <c r="I208" s="0" t="n">
        <v>303.22578</v>
      </c>
      <c r="J208" s="0" t="n">
        <v>58209</v>
      </c>
      <c r="K208" s="0" t="n">
        <v>16648.58</v>
      </c>
    </row>
    <row r="209" customFormat="false" ht="15" hidden="false" customHeight="false" outlineLevel="0" collapsed="false">
      <c r="A209" s="0" t="n">
        <v>2025</v>
      </c>
      <c r="B209" s="0" t="n">
        <v>4</v>
      </c>
      <c r="C209" s="0" t="s">
        <v>19</v>
      </c>
      <c r="D209" s="0" t="n">
        <v>70.6</v>
      </c>
      <c r="E209" s="0" t="n">
        <v>15552</v>
      </c>
      <c r="F209" s="0" t="n">
        <v>824.31</v>
      </c>
      <c r="H209" s="0" t="n">
        <v>0.2655</v>
      </c>
      <c r="I209" s="0" t="n">
        <v>218.854305</v>
      </c>
      <c r="J209" s="0" t="n">
        <v>41269</v>
      </c>
      <c r="K209" s="0" t="n">
        <v>10956.7</v>
      </c>
    </row>
    <row r="210" customFormat="false" ht="15" hidden="false" customHeight="false" outlineLevel="0" collapsed="false">
      <c r="A210" s="0" t="n">
        <v>2025</v>
      </c>
      <c r="B210" s="0" t="n">
        <v>5</v>
      </c>
      <c r="C210" s="0" t="s">
        <v>19</v>
      </c>
      <c r="D210" s="0" t="n">
        <v>58.7</v>
      </c>
      <c r="E210" s="0" t="n">
        <v>11985</v>
      </c>
      <c r="F210" s="0" t="n">
        <v>586.480000000001</v>
      </c>
      <c r="H210" s="0" t="n">
        <v>0.2575</v>
      </c>
      <c r="I210" s="0" t="n">
        <v>151.0186</v>
      </c>
      <c r="J210" s="0" t="n">
        <v>30809</v>
      </c>
      <c r="K210" s="0" t="n">
        <v>7932.95</v>
      </c>
    </row>
    <row r="211" customFormat="false" ht="15" hidden="false" customHeight="false" outlineLevel="0" collapsed="false">
      <c r="A211" s="0" t="n">
        <v>2025</v>
      </c>
      <c r="B211" s="0" t="n">
        <v>6</v>
      </c>
      <c r="C211" s="0" t="s">
        <v>19</v>
      </c>
      <c r="D211" s="0" t="n">
        <v>83.5</v>
      </c>
      <c r="E211" s="0" t="n">
        <v>14828</v>
      </c>
      <c r="F211" s="0" t="n">
        <v>840.06</v>
      </c>
      <c r="H211" s="0" t="n">
        <v>0.355</v>
      </c>
      <c r="I211" s="0" t="n">
        <v>298.2213</v>
      </c>
      <c r="J211" s="0" t="n">
        <v>33644</v>
      </c>
      <c r="K211" s="0" t="n">
        <v>11949.42</v>
      </c>
    </row>
    <row r="212" customFormat="false" ht="15" hidden="false" customHeight="false" outlineLevel="0" collapsed="false">
      <c r="A212" s="0" t="n">
        <v>2025</v>
      </c>
      <c r="B212" s="0" t="n">
        <v>7</v>
      </c>
      <c r="C212" s="0" t="s">
        <v>19</v>
      </c>
      <c r="D212" s="0" t="n">
        <v>131.1</v>
      </c>
      <c r="E212" s="0" t="n">
        <v>115922</v>
      </c>
      <c r="F212" s="0" t="n">
        <v>1044.72</v>
      </c>
      <c r="H212" s="0" t="n">
        <v>0.296</v>
      </c>
      <c r="I212" s="0" t="n">
        <v>309.23712</v>
      </c>
      <c r="J212" s="0" t="n">
        <v>51483</v>
      </c>
      <c r="K212" s="0" t="n">
        <v>15262.33</v>
      </c>
    </row>
    <row r="213" customFormat="false" ht="15" hidden="false" customHeight="false" outlineLevel="0" collapsed="false">
      <c r="A213" s="0" t="n">
        <v>2025</v>
      </c>
      <c r="B213" s="0" t="n">
        <v>8</v>
      </c>
      <c r="C213" s="0" t="s">
        <v>19</v>
      </c>
      <c r="D213" s="0" t="n">
        <v>0</v>
      </c>
      <c r="E213" s="0" t="n">
        <v>0</v>
      </c>
      <c r="F213" s="0" t="n">
        <v>7.17999999999938</v>
      </c>
      <c r="H213" s="0" t="n">
        <v>0.3268</v>
      </c>
      <c r="I213" s="0" t="n">
        <v>2.3464239999998</v>
      </c>
      <c r="J213" s="0" t="n">
        <v>17650</v>
      </c>
      <c r="K213" s="0" t="n">
        <v>5768.63</v>
      </c>
    </row>
    <row r="214" customFormat="false" ht="15" hidden="false" customHeight="false" outlineLevel="0" collapsed="false">
      <c r="A214" s="0" t="n">
        <v>2025</v>
      </c>
      <c r="B214" s="0" t="n">
        <v>9</v>
      </c>
      <c r="C214" s="0" t="s">
        <v>19</v>
      </c>
      <c r="D214" s="0" t="n">
        <v>0</v>
      </c>
      <c r="E214" s="0" t="n">
        <v>0</v>
      </c>
      <c r="F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</row>
    <row r="215" customFormat="false" ht="15" hidden="false" customHeight="false" outlineLevel="0" collapsed="false">
      <c r="A215" s="0" t="n">
        <v>2025</v>
      </c>
      <c r="B215" s="0" t="n">
        <v>10</v>
      </c>
      <c r="C215" s="0" t="s">
        <v>19</v>
      </c>
      <c r="H215" s="0" t="n">
        <v>0</v>
      </c>
      <c r="J215" s="0" t="n">
        <v>0</v>
      </c>
      <c r="K215" s="0" t="n">
        <v>0</v>
      </c>
    </row>
    <row r="216" customFormat="false" ht="15" hidden="false" customHeight="false" outlineLevel="0" collapsed="false">
      <c r="A216" s="0" t="n">
        <v>2025</v>
      </c>
      <c r="B216" s="0" t="n">
        <v>11</v>
      </c>
      <c r="C216" s="0" t="s">
        <v>19</v>
      </c>
      <c r="H216" s="0" t="n">
        <v>0</v>
      </c>
      <c r="J216" s="0" t="n">
        <v>0</v>
      </c>
      <c r="K216" s="0" t="n">
        <v>0</v>
      </c>
    </row>
    <row r="217" customFormat="false" ht="15" hidden="false" customHeight="false" outlineLevel="0" collapsed="false">
      <c r="A217" s="0" t="n">
        <v>2025</v>
      </c>
      <c r="B217" s="0" t="n">
        <v>12</v>
      </c>
      <c r="C217" s="0" t="s">
        <v>19</v>
      </c>
      <c r="H217" s="0" t="n">
        <v>0</v>
      </c>
      <c r="J217" s="0" t="n">
        <v>0</v>
      </c>
      <c r="K217" s="0" t="n">
        <v>0</v>
      </c>
    </row>
    <row r="218" customFormat="false" ht="15" hidden="false" customHeight="false" outlineLevel="0" collapsed="false">
      <c r="A218" s="0" t="n">
        <v>2024</v>
      </c>
      <c r="B218" s="0" t="n">
        <v>1</v>
      </c>
      <c r="C218" s="0" t="s">
        <v>20</v>
      </c>
      <c r="D218" s="0" t="n">
        <v>129.43</v>
      </c>
      <c r="E218" s="0" t="n">
        <v>45447</v>
      </c>
      <c r="H218" s="0" t="n">
        <v>0.2557</v>
      </c>
      <c r="J218" s="0" t="n">
        <v>64934</v>
      </c>
      <c r="K218" s="0" t="n">
        <v>16601.39</v>
      </c>
    </row>
    <row r="219" customFormat="false" ht="15" hidden="false" customHeight="false" outlineLevel="0" collapsed="false">
      <c r="A219" s="0" t="n">
        <v>2024</v>
      </c>
      <c r="B219" s="0" t="n">
        <v>2</v>
      </c>
      <c r="C219" s="0" t="s">
        <v>20</v>
      </c>
      <c r="D219" s="0" t="n">
        <v>108.66</v>
      </c>
      <c r="E219" s="0" t="n">
        <v>27652</v>
      </c>
      <c r="H219" s="0" t="n">
        <v>0.2378</v>
      </c>
      <c r="J219" s="0" t="n">
        <v>71197</v>
      </c>
      <c r="K219" s="0" t="n">
        <v>16934</v>
      </c>
    </row>
    <row r="220" customFormat="false" ht="15" hidden="false" customHeight="false" outlineLevel="0" collapsed="false">
      <c r="A220" s="0" t="n">
        <v>2024</v>
      </c>
      <c r="B220" s="0" t="n">
        <v>3</v>
      </c>
      <c r="C220" s="0" t="s">
        <v>20</v>
      </c>
      <c r="D220" s="0" t="n">
        <v>111.16</v>
      </c>
      <c r="E220" s="0" t="n">
        <v>36608</v>
      </c>
      <c r="H220" s="0" t="n">
        <v>0.2428</v>
      </c>
      <c r="J220" s="0" t="n">
        <v>51152</v>
      </c>
      <c r="K220" s="0" t="n">
        <v>12419.74</v>
      </c>
    </row>
    <row r="221" customFormat="false" ht="15" hidden="false" customHeight="false" outlineLevel="0" collapsed="false">
      <c r="A221" s="0" t="n">
        <v>2024</v>
      </c>
      <c r="B221" s="0" t="n">
        <v>4</v>
      </c>
      <c r="C221" s="0" t="s">
        <v>20</v>
      </c>
      <c r="D221" s="0" t="n">
        <v>43.4</v>
      </c>
      <c r="E221" s="0" t="n">
        <v>15452</v>
      </c>
      <c r="H221" s="0" t="n">
        <v>0.2416</v>
      </c>
      <c r="J221" s="0" t="n">
        <v>45316</v>
      </c>
      <c r="K221" s="0" t="n">
        <v>10948.47</v>
      </c>
    </row>
    <row r="222" customFormat="false" ht="15" hidden="false" customHeight="false" outlineLevel="0" collapsed="false">
      <c r="A222" s="0" t="n">
        <v>2024</v>
      </c>
      <c r="B222" s="0" t="n">
        <v>5</v>
      </c>
      <c r="C222" s="0" t="s">
        <v>20</v>
      </c>
      <c r="D222" s="0" t="n">
        <v>65.24</v>
      </c>
      <c r="E222" s="0" t="n">
        <v>17425</v>
      </c>
      <c r="H222" s="0" t="n">
        <v>0.2507</v>
      </c>
      <c r="J222" s="0" t="n">
        <v>51330</v>
      </c>
      <c r="K222" s="0" t="n">
        <v>12868.58</v>
      </c>
    </row>
    <row r="223" customFormat="false" ht="15" hidden="false" customHeight="false" outlineLevel="0" collapsed="false">
      <c r="A223" s="0" t="n">
        <v>2024</v>
      </c>
      <c r="B223" s="0" t="n">
        <v>6</v>
      </c>
      <c r="C223" s="0" t="s">
        <v>20</v>
      </c>
      <c r="D223" s="0" t="n">
        <v>0</v>
      </c>
      <c r="E223" s="0" t="n">
        <v>0</v>
      </c>
      <c r="H223" s="0" t="n">
        <v>0.2722</v>
      </c>
      <c r="J223" s="0" t="n">
        <v>42151</v>
      </c>
      <c r="K223" s="0" t="n">
        <v>11473.9</v>
      </c>
    </row>
    <row r="224" customFormat="false" ht="15" hidden="false" customHeight="false" outlineLevel="0" collapsed="false">
      <c r="A224" s="0" t="n">
        <v>2024</v>
      </c>
      <c r="B224" s="0" t="n">
        <v>7</v>
      </c>
      <c r="C224" s="0" t="s">
        <v>20</v>
      </c>
      <c r="D224" s="0" t="n">
        <v>53.62</v>
      </c>
      <c r="E224" s="0" t="n">
        <v>5264</v>
      </c>
      <c r="H224" s="0" t="n">
        <v>0.287</v>
      </c>
      <c r="J224" s="0" t="n">
        <v>67581</v>
      </c>
      <c r="K224" s="0" t="n">
        <v>19396.73</v>
      </c>
    </row>
    <row r="225" customFormat="false" ht="15" hidden="false" customHeight="false" outlineLevel="0" collapsed="false">
      <c r="A225" s="0" t="n">
        <v>2024</v>
      </c>
      <c r="B225" s="0" t="n">
        <v>8</v>
      </c>
      <c r="C225" s="0" t="s">
        <v>20</v>
      </c>
      <c r="D225" s="0" t="n">
        <v>14.37</v>
      </c>
      <c r="E225" s="0" t="n">
        <v>2128</v>
      </c>
      <c r="H225" s="0" t="n">
        <v>0.3047</v>
      </c>
      <c r="J225" s="0" t="n">
        <v>44796</v>
      </c>
      <c r="K225" s="0" t="n">
        <v>13651.04</v>
      </c>
    </row>
    <row r="226" customFormat="false" ht="15" hidden="false" customHeight="false" outlineLevel="0" collapsed="false">
      <c r="A226" s="0" t="n">
        <v>2024</v>
      </c>
      <c r="B226" s="0" t="n">
        <v>9</v>
      </c>
      <c r="C226" s="0" t="s">
        <v>20</v>
      </c>
      <c r="D226" s="0" t="n">
        <v>24.86</v>
      </c>
      <c r="E226" s="0" t="n">
        <v>15040</v>
      </c>
      <c r="H226" s="0" t="n">
        <v>0.2904</v>
      </c>
      <c r="J226" s="0" t="n">
        <v>52599</v>
      </c>
      <c r="K226" s="0" t="n">
        <v>15277.15</v>
      </c>
    </row>
    <row r="227" customFormat="false" ht="15" hidden="false" customHeight="false" outlineLevel="0" collapsed="false">
      <c r="A227" s="0" t="n">
        <v>2024</v>
      </c>
      <c r="B227" s="0" t="n">
        <v>10</v>
      </c>
      <c r="C227" s="0" t="s">
        <v>20</v>
      </c>
      <c r="D227" s="0" t="n">
        <v>22.06</v>
      </c>
      <c r="E227" s="0" t="n">
        <v>9360</v>
      </c>
      <c r="H227" s="0" t="n">
        <v>0.2856</v>
      </c>
      <c r="J227" s="0" t="n">
        <v>54362</v>
      </c>
      <c r="K227" s="0" t="n">
        <v>15523.99</v>
      </c>
    </row>
    <row r="228" customFormat="false" ht="15" hidden="false" customHeight="false" outlineLevel="0" collapsed="false">
      <c r="A228" s="0" t="n">
        <v>2024</v>
      </c>
      <c r="B228" s="0" t="n">
        <v>11</v>
      </c>
      <c r="C228" s="0" t="s">
        <v>20</v>
      </c>
      <c r="D228" s="0" t="n">
        <v>50.7</v>
      </c>
      <c r="E228" s="0" t="n">
        <v>23463</v>
      </c>
      <c r="F228" s="0" t="n">
        <v>449.71</v>
      </c>
      <c r="H228" s="0" t="n">
        <v>0.307</v>
      </c>
      <c r="I228" s="0" t="n">
        <v>138.06097</v>
      </c>
      <c r="J228" s="0" t="n">
        <v>64157</v>
      </c>
      <c r="K228" s="0" t="n">
        <v>19751.41</v>
      </c>
    </row>
    <row r="229" customFormat="false" ht="15" hidden="false" customHeight="false" outlineLevel="0" collapsed="false">
      <c r="A229" s="0" t="n">
        <v>2024</v>
      </c>
      <c r="B229" s="0" t="n">
        <v>12</v>
      </c>
      <c r="C229" s="0" t="s">
        <v>20</v>
      </c>
      <c r="D229" s="0" t="n">
        <v>12.4</v>
      </c>
      <c r="E229" s="0" t="n">
        <v>3993</v>
      </c>
      <c r="F229" s="0" t="n">
        <v>164.26</v>
      </c>
      <c r="H229" s="0" t="n">
        <v>0.331</v>
      </c>
      <c r="I229" s="0" t="n">
        <v>54.37006</v>
      </c>
      <c r="J229" s="0" t="n">
        <v>51593</v>
      </c>
      <c r="K229" s="0" t="n">
        <v>17063.94</v>
      </c>
    </row>
    <row r="230" customFormat="false" ht="15" hidden="false" customHeight="false" outlineLevel="0" collapsed="false">
      <c r="A230" s="0" t="n">
        <v>2025</v>
      </c>
      <c r="B230" s="0" t="n">
        <v>1</v>
      </c>
      <c r="C230" s="0" t="s">
        <v>20</v>
      </c>
      <c r="D230" s="0" t="n">
        <v>2.3</v>
      </c>
      <c r="E230" s="0" t="n">
        <v>9</v>
      </c>
      <c r="F230" s="0" t="n">
        <v>135.3</v>
      </c>
      <c r="H230" s="0" t="n">
        <v>0.335</v>
      </c>
      <c r="I230" s="0" t="n">
        <v>45.3255</v>
      </c>
      <c r="J230" s="0" t="n">
        <v>61904</v>
      </c>
      <c r="K230" s="0" t="n">
        <v>20875.39</v>
      </c>
    </row>
    <row r="231" customFormat="false" ht="15" hidden="false" customHeight="false" outlineLevel="0" collapsed="false">
      <c r="A231" s="0" t="n">
        <v>2025</v>
      </c>
      <c r="B231" s="0" t="n">
        <v>2</v>
      </c>
      <c r="C231" s="0" t="s">
        <v>20</v>
      </c>
      <c r="D231" s="0" t="n">
        <v>64.1</v>
      </c>
      <c r="E231" s="0" t="n">
        <v>36009</v>
      </c>
      <c r="F231" s="0" t="n">
        <v>341.64</v>
      </c>
      <c r="H231" s="0" t="n">
        <v>0.334</v>
      </c>
      <c r="I231" s="0" t="n">
        <v>114.10776</v>
      </c>
      <c r="J231" s="0" t="n">
        <v>60366</v>
      </c>
      <c r="K231" s="0" t="n">
        <v>20173.7</v>
      </c>
    </row>
    <row r="232" customFormat="false" ht="15" hidden="false" customHeight="false" outlineLevel="0" collapsed="false">
      <c r="A232" s="0" t="n">
        <v>2025</v>
      </c>
      <c r="B232" s="0" t="n">
        <v>3</v>
      </c>
      <c r="C232" s="0" t="s">
        <v>20</v>
      </c>
      <c r="D232" s="0" t="n">
        <v>99.4</v>
      </c>
      <c r="E232" s="0" t="n">
        <v>22178</v>
      </c>
      <c r="F232" s="0" t="n">
        <v>401.27</v>
      </c>
      <c r="H232" s="0" t="n">
        <v>0.286</v>
      </c>
      <c r="I232" s="0" t="n">
        <v>114.76322</v>
      </c>
      <c r="J232" s="0" t="n">
        <v>58209</v>
      </c>
      <c r="K232" s="0" t="n">
        <v>16648.58</v>
      </c>
    </row>
    <row r="233" customFormat="false" ht="15" hidden="false" customHeight="false" outlineLevel="0" collapsed="false">
      <c r="A233" s="0" t="n">
        <v>2025</v>
      </c>
      <c r="B233" s="0" t="n">
        <v>4</v>
      </c>
      <c r="C233" s="0" t="s">
        <v>20</v>
      </c>
      <c r="D233" s="0" t="n">
        <v>66</v>
      </c>
      <c r="E233" s="0" t="n">
        <v>16806</v>
      </c>
      <c r="F233" s="0" t="n">
        <v>375.39</v>
      </c>
      <c r="H233" s="0" t="n">
        <v>0.2655</v>
      </c>
      <c r="I233" s="0" t="n">
        <v>99.666045</v>
      </c>
      <c r="J233" s="0" t="n">
        <v>41269</v>
      </c>
      <c r="K233" s="0" t="n">
        <v>10956.7</v>
      </c>
    </row>
    <row r="234" customFormat="false" ht="15" hidden="false" customHeight="false" outlineLevel="0" collapsed="false">
      <c r="A234" s="0" t="n">
        <v>2025</v>
      </c>
      <c r="B234" s="0" t="n">
        <v>5</v>
      </c>
      <c r="C234" s="0" t="s">
        <v>20</v>
      </c>
      <c r="D234" s="0" t="n">
        <v>0</v>
      </c>
      <c r="E234" s="0" t="n">
        <v>0</v>
      </c>
      <c r="F234" s="0" t="n">
        <v>23.5999999999999</v>
      </c>
      <c r="H234" s="0" t="n">
        <v>0.2575</v>
      </c>
      <c r="I234" s="0" t="n">
        <v>6.07699999999998</v>
      </c>
      <c r="J234" s="0" t="n">
        <v>30809</v>
      </c>
      <c r="K234" s="0" t="n">
        <v>7932.95</v>
      </c>
    </row>
    <row r="235" customFormat="false" ht="15" hidden="false" customHeight="false" outlineLevel="0" collapsed="false">
      <c r="A235" s="0" t="n">
        <v>2025</v>
      </c>
      <c r="B235" s="0" t="n">
        <v>6</v>
      </c>
      <c r="C235" s="0" t="s">
        <v>20</v>
      </c>
      <c r="D235" s="0" t="n">
        <v>19.5</v>
      </c>
      <c r="E235" s="0" t="n">
        <v>13125</v>
      </c>
      <c r="F235" s="0" t="n">
        <v>159.25</v>
      </c>
      <c r="H235" s="0" t="n">
        <v>0.355</v>
      </c>
      <c r="I235" s="0" t="n">
        <v>56.53375</v>
      </c>
      <c r="J235" s="0" t="n">
        <v>33644</v>
      </c>
      <c r="K235" s="0" t="n">
        <v>11949.42</v>
      </c>
    </row>
    <row r="236" customFormat="false" ht="15" hidden="false" customHeight="false" outlineLevel="0" collapsed="false">
      <c r="A236" s="0" t="n">
        <v>2025</v>
      </c>
      <c r="B236" s="0" t="n">
        <v>7</v>
      </c>
      <c r="C236" s="0" t="s">
        <v>20</v>
      </c>
      <c r="D236" s="0" t="n">
        <v>57.8</v>
      </c>
      <c r="E236" s="0" t="n">
        <v>18000</v>
      </c>
      <c r="F236" s="0" t="n">
        <v>262.42</v>
      </c>
      <c r="H236" s="0" t="n">
        <v>0.296</v>
      </c>
      <c r="I236" s="0" t="n">
        <v>77.67632</v>
      </c>
      <c r="J236" s="0" t="n">
        <v>51483</v>
      </c>
      <c r="K236" s="0" t="n">
        <v>15262.33</v>
      </c>
    </row>
    <row r="237" customFormat="false" ht="15" hidden="false" customHeight="false" outlineLevel="0" collapsed="false">
      <c r="A237" s="0" t="n">
        <v>2025</v>
      </c>
      <c r="B237" s="0" t="n">
        <v>8</v>
      </c>
      <c r="C237" s="0" t="s">
        <v>20</v>
      </c>
      <c r="D237" s="0" t="n">
        <v>8.56</v>
      </c>
      <c r="E237" s="0" t="n">
        <v>5000</v>
      </c>
      <c r="F237" s="0" t="n">
        <v>76.1900000000001</v>
      </c>
      <c r="H237" s="0" t="n">
        <v>0.3268</v>
      </c>
      <c r="I237" s="0" t="n">
        <v>24.898892</v>
      </c>
      <c r="J237" s="0" t="n">
        <v>17650</v>
      </c>
      <c r="K237" s="0" t="n">
        <v>5768.63</v>
      </c>
    </row>
    <row r="238" customFormat="false" ht="15" hidden="false" customHeight="false" outlineLevel="0" collapsed="false">
      <c r="A238" s="0" t="n">
        <v>2025</v>
      </c>
      <c r="B238" s="0" t="n">
        <v>9</v>
      </c>
      <c r="C238" s="0" t="s">
        <v>20</v>
      </c>
      <c r="D238" s="0" t="n">
        <v>25.67</v>
      </c>
      <c r="E238" s="0" t="n">
        <v>18360</v>
      </c>
      <c r="F238" s="0" t="n">
        <v>293.54</v>
      </c>
      <c r="H238" s="0" t="n">
        <v>0</v>
      </c>
      <c r="I238" s="0" t="n">
        <v>0</v>
      </c>
      <c r="J238" s="0" t="n">
        <v>0</v>
      </c>
      <c r="K238" s="0" t="n">
        <v>0</v>
      </c>
    </row>
    <row r="239" customFormat="false" ht="15" hidden="false" customHeight="false" outlineLevel="0" collapsed="false">
      <c r="A239" s="0" t="n">
        <v>2025</v>
      </c>
      <c r="B239" s="0" t="n">
        <v>10</v>
      </c>
      <c r="C239" s="0" t="s">
        <v>20</v>
      </c>
      <c r="H239" s="0" t="n">
        <v>0</v>
      </c>
      <c r="J239" s="0" t="n">
        <v>0</v>
      </c>
      <c r="K239" s="0" t="n">
        <v>0</v>
      </c>
    </row>
    <row r="240" customFormat="false" ht="15" hidden="false" customHeight="false" outlineLevel="0" collapsed="false">
      <c r="A240" s="0" t="n">
        <v>2025</v>
      </c>
      <c r="B240" s="0" t="n">
        <v>11</v>
      </c>
      <c r="C240" s="0" t="s">
        <v>20</v>
      </c>
      <c r="H240" s="0" t="n">
        <v>0</v>
      </c>
      <c r="J240" s="0" t="n">
        <v>0</v>
      </c>
      <c r="K240" s="0" t="n">
        <v>0</v>
      </c>
    </row>
    <row r="241" customFormat="false" ht="15" hidden="false" customHeight="false" outlineLevel="0" collapsed="false">
      <c r="A241" s="0" t="n">
        <v>2025</v>
      </c>
      <c r="B241" s="0" t="n">
        <v>12</v>
      </c>
      <c r="C241" s="0" t="s">
        <v>20</v>
      </c>
      <c r="H241" s="0" t="n">
        <v>0</v>
      </c>
      <c r="J241" s="0" t="n">
        <v>0</v>
      </c>
      <c r="K241" s="0" t="n">
        <v>0</v>
      </c>
    </row>
    <row r="242" customFormat="false" ht="15" hidden="false" customHeight="false" outlineLevel="0" collapsed="false">
      <c r="A242" s="0" t="n">
        <v>2024</v>
      </c>
      <c r="B242" s="0" t="n">
        <v>1</v>
      </c>
      <c r="C242" s="0" t="s">
        <v>21</v>
      </c>
      <c r="D242" s="0" t="n">
        <v>101.86</v>
      </c>
      <c r="E242" s="0" t="n">
        <v>38280</v>
      </c>
      <c r="H242" s="0" t="n">
        <v>0.2557</v>
      </c>
      <c r="J242" s="0" t="n">
        <v>64934</v>
      </c>
      <c r="K242" s="0" t="n">
        <v>16601.39</v>
      </c>
    </row>
    <row r="243" customFormat="false" ht="15" hidden="false" customHeight="false" outlineLevel="0" collapsed="false">
      <c r="A243" s="0" t="n">
        <v>2024</v>
      </c>
      <c r="B243" s="0" t="n">
        <v>2</v>
      </c>
      <c r="C243" s="0" t="s">
        <v>21</v>
      </c>
      <c r="D243" s="0" t="n">
        <v>209.38</v>
      </c>
      <c r="E243" s="0" t="n">
        <v>52900</v>
      </c>
      <c r="H243" s="0" t="n">
        <v>0.2378</v>
      </c>
      <c r="J243" s="0" t="n">
        <v>71197</v>
      </c>
      <c r="K243" s="0" t="n">
        <v>16934</v>
      </c>
    </row>
    <row r="244" customFormat="false" ht="15" hidden="false" customHeight="false" outlineLevel="0" collapsed="false">
      <c r="A244" s="0" t="n">
        <v>2024</v>
      </c>
      <c r="B244" s="0" t="n">
        <v>3</v>
      </c>
      <c r="C244" s="0" t="s">
        <v>21</v>
      </c>
      <c r="D244" s="0" t="n">
        <v>38.6</v>
      </c>
      <c r="E244" s="0" t="n">
        <v>47680</v>
      </c>
      <c r="H244" s="0" t="n">
        <v>0.2428</v>
      </c>
      <c r="J244" s="0" t="n">
        <v>51152</v>
      </c>
      <c r="K244" s="0" t="n">
        <v>12419.74</v>
      </c>
    </row>
    <row r="245" customFormat="false" ht="15" hidden="false" customHeight="false" outlineLevel="0" collapsed="false">
      <c r="A245" s="0" t="n">
        <v>2024</v>
      </c>
      <c r="B245" s="0" t="n">
        <v>4</v>
      </c>
      <c r="C245" s="0" t="s">
        <v>21</v>
      </c>
      <c r="D245" s="0" t="n">
        <v>253.99</v>
      </c>
      <c r="E245" s="0" t="n">
        <v>21709</v>
      </c>
      <c r="H245" s="0" t="n">
        <v>0.2416</v>
      </c>
      <c r="J245" s="0" t="n">
        <v>45316</v>
      </c>
      <c r="K245" s="0" t="n">
        <v>10948.47</v>
      </c>
    </row>
    <row r="246" customFormat="false" ht="15" hidden="false" customHeight="false" outlineLevel="0" collapsed="false">
      <c r="A246" s="0" t="n">
        <v>2024</v>
      </c>
      <c r="B246" s="0" t="n">
        <v>5</v>
      </c>
      <c r="C246" s="0" t="s">
        <v>21</v>
      </c>
      <c r="D246" s="0" t="n">
        <v>160.65</v>
      </c>
      <c r="E246" s="0" t="n">
        <v>29355</v>
      </c>
      <c r="H246" s="0" t="n">
        <v>0.2507</v>
      </c>
      <c r="J246" s="0" t="n">
        <v>51330</v>
      </c>
      <c r="K246" s="0" t="n">
        <v>12868.58</v>
      </c>
    </row>
    <row r="247" customFormat="false" ht="15" hidden="false" customHeight="false" outlineLevel="0" collapsed="false">
      <c r="A247" s="0" t="n">
        <v>2024</v>
      </c>
      <c r="B247" s="0" t="n">
        <v>6</v>
      </c>
      <c r="C247" s="0" t="s">
        <v>21</v>
      </c>
      <c r="D247" s="0" t="n">
        <v>36.54</v>
      </c>
      <c r="E247" s="0" t="n">
        <v>20502</v>
      </c>
      <c r="H247" s="0" t="n">
        <v>0.2722</v>
      </c>
      <c r="J247" s="0" t="n">
        <v>42151</v>
      </c>
      <c r="K247" s="0" t="n">
        <v>11473.9</v>
      </c>
    </row>
    <row r="248" customFormat="false" ht="15" hidden="false" customHeight="false" outlineLevel="0" collapsed="false">
      <c r="A248" s="0" t="n">
        <v>2024</v>
      </c>
      <c r="B248" s="0" t="n">
        <v>7</v>
      </c>
      <c r="C248" s="0" t="s">
        <v>21</v>
      </c>
      <c r="D248" s="0" t="n">
        <v>0</v>
      </c>
      <c r="E248" s="0" t="n">
        <v>0</v>
      </c>
      <c r="H248" s="0" t="n">
        <v>0.287</v>
      </c>
      <c r="J248" s="0" t="n">
        <v>67581</v>
      </c>
      <c r="K248" s="0" t="n">
        <v>19396.73</v>
      </c>
    </row>
    <row r="249" customFormat="false" ht="15" hidden="false" customHeight="false" outlineLevel="0" collapsed="false">
      <c r="A249" s="0" t="n">
        <v>2024</v>
      </c>
      <c r="B249" s="0" t="n">
        <v>8</v>
      </c>
      <c r="C249" s="0" t="s">
        <v>21</v>
      </c>
      <c r="D249" s="0" t="n">
        <v>23.03</v>
      </c>
      <c r="E249" s="0" t="n">
        <v>10980</v>
      </c>
      <c r="H249" s="0" t="n">
        <v>0.3047</v>
      </c>
      <c r="J249" s="0" t="n">
        <v>44796</v>
      </c>
      <c r="K249" s="0" t="n">
        <v>13651.04</v>
      </c>
    </row>
    <row r="250" customFormat="false" ht="15" hidden="false" customHeight="false" outlineLevel="0" collapsed="false">
      <c r="A250" s="0" t="n">
        <v>2024</v>
      </c>
      <c r="B250" s="0" t="n">
        <v>9</v>
      </c>
      <c r="C250" s="0" t="s">
        <v>21</v>
      </c>
      <c r="D250" s="0" t="n">
        <v>51.57</v>
      </c>
      <c r="E250" s="0" t="n">
        <v>26298</v>
      </c>
      <c r="H250" s="0" t="n">
        <v>0.2904</v>
      </c>
      <c r="J250" s="0" t="n">
        <v>52599</v>
      </c>
      <c r="K250" s="0" t="n">
        <v>15277.15</v>
      </c>
    </row>
    <row r="251" customFormat="false" ht="15" hidden="false" customHeight="false" outlineLevel="0" collapsed="false">
      <c r="A251" s="0" t="n">
        <v>2024</v>
      </c>
      <c r="B251" s="0" t="n">
        <v>10</v>
      </c>
      <c r="C251" s="0" t="s">
        <v>21</v>
      </c>
      <c r="D251" s="0" t="n">
        <v>21.41</v>
      </c>
      <c r="E251" s="0" t="n">
        <v>4628</v>
      </c>
      <c r="H251" s="0" t="n">
        <v>0.2856</v>
      </c>
      <c r="J251" s="0" t="n">
        <v>54362</v>
      </c>
      <c r="K251" s="0" t="n">
        <v>15523.99</v>
      </c>
    </row>
    <row r="252" customFormat="false" ht="15" hidden="false" customHeight="false" outlineLevel="0" collapsed="false">
      <c r="A252" s="0" t="n">
        <v>2024</v>
      </c>
      <c r="B252" s="0" t="n">
        <v>11</v>
      </c>
      <c r="C252" s="0" t="s">
        <v>21</v>
      </c>
      <c r="D252" s="0" t="n">
        <v>55.1</v>
      </c>
      <c r="E252" s="0" t="n">
        <v>31023</v>
      </c>
      <c r="F252" s="0" t="n">
        <v>889.11</v>
      </c>
      <c r="H252" s="0" t="n">
        <v>0.307</v>
      </c>
      <c r="I252" s="0" t="n">
        <v>272.95677</v>
      </c>
      <c r="J252" s="0" t="n">
        <v>64157</v>
      </c>
      <c r="K252" s="0" t="n">
        <v>19751.41</v>
      </c>
    </row>
    <row r="253" customFormat="false" ht="15" hidden="false" customHeight="false" outlineLevel="0" collapsed="false">
      <c r="A253" s="0" t="n">
        <v>2024</v>
      </c>
      <c r="B253" s="0" t="n">
        <v>12</v>
      </c>
      <c r="C253" s="0" t="s">
        <v>21</v>
      </c>
      <c r="D253" s="0" t="n">
        <v>2.1</v>
      </c>
      <c r="E253" s="0" t="n">
        <v>2616</v>
      </c>
      <c r="F253" s="0" t="n">
        <v>289.65</v>
      </c>
      <c r="H253" s="0" t="n">
        <v>0.331</v>
      </c>
      <c r="I253" s="0" t="n">
        <v>95.87415</v>
      </c>
      <c r="J253" s="0" t="n">
        <v>51593</v>
      </c>
      <c r="K253" s="0" t="n">
        <v>17063.94</v>
      </c>
    </row>
    <row r="254" customFormat="false" ht="15" hidden="false" customHeight="false" outlineLevel="0" collapsed="false">
      <c r="A254" s="0" t="n">
        <v>2025</v>
      </c>
      <c r="B254" s="0" t="n">
        <v>1</v>
      </c>
      <c r="C254" s="0" t="s">
        <v>21</v>
      </c>
      <c r="D254" s="0" t="n">
        <v>31.5</v>
      </c>
      <c r="E254" s="0" t="n">
        <v>8619</v>
      </c>
      <c r="F254" s="0" t="n">
        <v>580.88</v>
      </c>
      <c r="H254" s="0" t="n">
        <v>0.335</v>
      </c>
      <c r="I254" s="0" t="n">
        <v>194.5948</v>
      </c>
      <c r="J254" s="0" t="n">
        <v>61904</v>
      </c>
      <c r="K254" s="0" t="n">
        <v>20875.39</v>
      </c>
    </row>
    <row r="255" customFormat="false" ht="15" hidden="false" customHeight="false" outlineLevel="0" collapsed="false">
      <c r="A255" s="0" t="n">
        <v>2025</v>
      </c>
      <c r="B255" s="0" t="n">
        <v>2</v>
      </c>
      <c r="C255" s="0" t="s">
        <v>21</v>
      </c>
      <c r="D255" s="0" t="n">
        <v>92.6</v>
      </c>
      <c r="E255" s="0" t="n">
        <v>29278</v>
      </c>
      <c r="F255" s="0" t="n">
        <v>920.21</v>
      </c>
      <c r="H255" s="0" t="n">
        <v>0.334</v>
      </c>
      <c r="I255" s="0" t="n">
        <v>307.35014</v>
      </c>
      <c r="J255" s="0" t="n">
        <v>60366</v>
      </c>
      <c r="K255" s="0" t="n">
        <v>20173.7</v>
      </c>
    </row>
    <row r="256" customFormat="false" ht="15" hidden="false" customHeight="false" outlineLevel="0" collapsed="false">
      <c r="A256" s="0" t="n">
        <v>2025</v>
      </c>
      <c r="B256" s="0" t="n">
        <v>3</v>
      </c>
      <c r="C256" s="0" t="s">
        <v>21</v>
      </c>
      <c r="D256" s="0" t="n">
        <v>79.9</v>
      </c>
      <c r="E256" s="0" t="n">
        <v>33501</v>
      </c>
      <c r="F256" s="0" t="n">
        <v>1017.88</v>
      </c>
      <c r="H256" s="0" t="n">
        <v>0.286</v>
      </c>
      <c r="I256" s="0" t="n">
        <v>291.11368</v>
      </c>
      <c r="J256" s="0" t="n">
        <v>58209</v>
      </c>
      <c r="K256" s="0" t="n">
        <v>16648.58</v>
      </c>
    </row>
    <row r="257" customFormat="false" ht="15" hidden="false" customHeight="false" outlineLevel="0" collapsed="false">
      <c r="A257" s="0" t="n">
        <v>2025</v>
      </c>
      <c r="B257" s="0" t="n">
        <v>4</v>
      </c>
      <c r="C257" s="0" t="s">
        <v>21</v>
      </c>
      <c r="D257" s="0" t="n">
        <v>164.8</v>
      </c>
      <c r="E257" s="0" t="n">
        <v>70944</v>
      </c>
      <c r="F257" s="0" t="n">
        <v>1182.44</v>
      </c>
      <c r="H257" s="0" t="n">
        <v>0.2655</v>
      </c>
      <c r="I257" s="0" t="n">
        <v>313.93782</v>
      </c>
      <c r="J257" s="0" t="n">
        <v>41269</v>
      </c>
      <c r="K257" s="0" t="n">
        <v>10956.7</v>
      </c>
    </row>
    <row r="258" customFormat="false" ht="15" hidden="false" customHeight="false" outlineLevel="0" collapsed="false">
      <c r="A258" s="0" t="n">
        <v>2025</v>
      </c>
      <c r="B258" s="0" t="n">
        <v>5</v>
      </c>
      <c r="C258" s="0" t="s">
        <v>21</v>
      </c>
      <c r="D258" s="0" t="n">
        <v>52.2</v>
      </c>
      <c r="E258" s="0" t="n">
        <v>29403</v>
      </c>
      <c r="F258" s="0" t="n">
        <v>610.53</v>
      </c>
      <c r="H258" s="0" t="n">
        <v>0.2575</v>
      </c>
      <c r="I258" s="0" t="n">
        <v>157.211475</v>
      </c>
      <c r="J258" s="0" t="n">
        <v>30809</v>
      </c>
      <c r="K258" s="0" t="n">
        <v>7932.95</v>
      </c>
    </row>
    <row r="259" customFormat="false" ht="15" hidden="false" customHeight="false" outlineLevel="0" collapsed="false">
      <c r="A259" s="0" t="n">
        <v>2025</v>
      </c>
      <c r="B259" s="0" t="n">
        <v>6</v>
      </c>
      <c r="C259" s="0" t="s">
        <v>21</v>
      </c>
      <c r="D259" s="0" t="n">
        <v>6.5</v>
      </c>
      <c r="E259" s="0" t="n">
        <v>4800</v>
      </c>
      <c r="F259" s="0" t="n">
        <v>132.480000000001</v>
      </c>
      <c r="H259" s="0" t="n">
        <v>0.355</v>
      </c>
      <c r="I259" s="0" t="n">
        <v>47.0304000000002</v>
      </c>
      <c r="J259" s="0" t="n">
        <v>33644</v>
      </c>
      <c r="K259" s="0" t="n">
        <v>11949.42</v>
      </c>
    </row>
    <row r="260" customFormat="false" ht="15" hidden="false" customHeight="false" outlineLevel="0" collapsed="false">
      <c r="A260" s="0" t="n">
        <v>2025</v>
      </c>
      <c r="B260" s="0" t="n">
        <v>7</v>
      </c>
      <c r="C260" s="0" t="s">
        <v>21</v>
      </c>
      <c r="D260" s="0" t="n">
        <v>150.1</v>
      </c>
      <c r="E260" s="0" t="n">
        <v>33092</v>
      </c>
      <c r="F260" s="0" t="n">
        <v>905.03</v>
      </c>
      <c r="H260" s="0" t="n">
        <v>0.296</v>
      </c>
      <c r="I260" s="0" t="n">
        <v>267.88888</v>
      </c>
      <c r="J260" s="0" t="n">
        <v>51483</v>
      </c>
      <c r="K260" s="0" t="n">
        <v>15262.33</v>
      </c>
    </row>
    <row r="261" customFormat="false" ht="15" hidden="false" customHeight="false" outlineLevel="0" collapsed="false">
      <c r="A261" s="0" t="n">
        <v>2025</v>
      </c>
      <c r="B261" s="0" t="n">
        <v>8</v>
      </c>
      <c r="C261" s="0" t="s">
        <v>21</v>
      </c>
      <c r="D261" s="0" t="n">
        <v>0</v>
      </c>
      <c r="E261" s="0" t="n">
        <v>0</v>
      </c>
      <c r="F261" s="0" t="n">
        <v>8.82000000000062</v>
      </c>
      <c r="H261" s="0" t="n">
        <v>0.3268</v>
      </c>
      <c r="J261" s="0" t="n">
        <v>17650</v>
      </c>
      <c r="K261" s="0" t="n">
        <v>5768.63</v>
      </c>
    </row>
    <row r="262" customFormat="false" ht="15" hidden="false" customHeight="false" outlineLevel="0" collapsed="false">
      <c r="A262" s="0" t="n">
        <v>2025</v>
      </c>
      <c r="B262" s="0" t="n">
        <v>9</v>
      </c>
      <c r="C262" s="0" t="s">
        <v>21</v>
      </c>
      <c r="D262" s="0" t="n">
        <v>110.88</v>
      </c>
      <c r="E262" s="0" t="n">
        <v>11782</v>
      </c>
      <c r="F262" s="0" t="n">
        <v>553.54</v>
      </c>
      <c r="H262" s="0" t="n">
        <v>0</v>
      </c>
      <c r="J262" s="0" t="n">
        <v>0</v>
      </c>
      <c r="K262" s="0" t="n">
        <v>0</v>
      </c>
    </row>
    <row r="263" customFormat="false" ht="15" hidden="false" customHeight="false" outlineLevel="0" collapsed="false">
      <c r="A263" s="0" t="n">
        <v>2025</v>
      </c>
      <c r="B263" s="0" t="n">
        <v>10</v>
      </c>
      <c r="C263" s="0" t="s">
        <v>21</v>
      </c>
      <c r="H263" s="0" t="n">
        <v>0</v>
      </c>
      <c r="J263" s="0" t="n">
        <v>0</v>
      </c>
      <c r="K263" s="0" t="n">
        <v>0</v>
      </c>
    </row>
    <row r="264" customFormat="false" ht="15" hidden="false" customHeight="false" outlineLevel="0" collapsed="false">
      <c r="A264" s="0" t="n">
        <v>2025</v>
      </c>
      <c r="B264" s="0" t="n">
        <v>11</v>
      </c>
      <c r="C264" s="0" t="s">
        <v>21</v>
      </c>
      <c r="H264" s="0" t="n">
        <v>0</v>
      </c>
      <c r="J264" s="0" t="n">
        <v>0</v>
      </c>
      <c r="K264" s="0" t="n">
        <v>0</v>
      </c>
    </row>
    <row r="265" customFormat="false" ht="15" hidden="false" customHeight="false" outlineLevel="0" collapsed="false">
      <c r="A265" s="0" t="n">
        <v>2025</v>
      </c>
      <c r="B265" s="0" t="n">
        <v>12</v>
      </c>
      <c r="C265" s="0" t="s">
        <v>21</v>
      </c>
      <c r="H265" s="0" t="n">
        <v>0</v>
      </c>
      <c r="J265" s="0" t="n">
        <v>0</v>
      </c>
      <c r="K265" s="0" t="n">
        <v>0</v>
      </c>
    </row>
    <row r="266" customFormat="false" ht="15" hidden="false" customHeight="false" outlineLevel="0" collapsed="false">
      <c r="A266" s="0" t="n">
        <v>2024</v>
      </c>
      <c r="B266" s="0" t="n">
        <v>1</v>
      </c>
      <c r="C266" s="0" t="s">
        <v>22</v>
      </c>
      <c r="D266" s="0" t="n">
        <v>324.79</v>
      </c>
      <c r="E266" s="0" t="n">
        <v>140670</v>
      </c>
      <c r="H266" s="0" t="n">
        <v>0.2557</v>
      </c>
      <c r="J266" s="0" t="n">
        <v>64934</v>
      </c>
      <c r="K266" s="0" t="n">
        <v>16601.39</v>
      </c>
    </row>
    <row r="267" customFormat="false" ht="15" hidden="false" customHeight="false" outlineLevel="0" collapsed="false">
      <c r="A267" s="0" t="n">
        <v>2024</v>
      </c>
      <c r="B267" s="0" t="n">
        <v>2</v>
      </c>
      <c r="C267" s="0" t="s">
        <v>22</v>
      </c>
      <c r="D267" s="0" t="n">
        <v>80.13</v>
      </c>
      <c r="E267" s="0" t="n">
        <v>39140</v>
      </c>
      <c r="H267" s="0" t="n">
        <v>0.2378</v>
      </c>
      <c r="J267" s="0" t="n">
        <v>71197</v>
      </c>
      <c r="K267" s="0" t="n">
        <v>16934</v>
      </c>
    </row>
    <row r="268" customFormat="false" ht="15" hidden="false" customHeight="false" outlineLevel="0" collapsed="false">
      <c r="A268" s="0" t="n">
        <v>2024</v>
      </c>
      <c r="B268" s="0" t="n">
        <v>3</v>
      </c>
      <c r="C268" s="0" t="s">
        <v>22</v>
      </c>
      <c r="D268" s="0" t="n">
        <v>16.14</v>
      </c>
      <c r="E268" s="0" t="n">
        <v>8600</v>
      </c>
      <c r="H268" s="0" t="n">
        <v>0.2428</v>
      </c>
      <c r="J268" s="0" t="n">
        <v>51152</v>
      </c>
      <c r="K268" s="0" t="n">
        <v>12419.74</v>
      </c>
    </row>
    <row r="269" customFormat="false" ht="15" hidden="false" customHeight="false" outlineLevel="0" collapsed="false">
      <c r="A269" s="0" t="n">
        <v>2024</v>
      </c>
      <c r="B269" s="0" t="n">
        <v>4</v>
      </c>
      <c r="C269" s="0" t="s">
        <v>22</v>
      </c>
      <c r="D269" s="0" t="n">
        <v>18.04</v>
      </c>
      <c r="E269" s="0" t="n">
        <v>10000</v>
      </c>
      <c r="H269" s="0" t="n">
        <v>0.2416</v>
      </c>
      <c r="J269" s="0" t="n">
        <v>45316</v>
      </c>
      <c r="K269" s="0" t="n">
        <v>10948.47</v>
      </c>
    </row>
    <row r="270" customFormat="false" ht="15" hidden="false" customHeight="false" outlineLevel="0" collapsed="false">
      <c r="A270" s="0" t="n">
        <v>2024</v>
      </c>
      <c r="B270" s="0" t="n">
        <v>5</v>
      </c>
      <c r="C270" s="0" t="s">
        <v>22</v>
      </c>
      <c r="D270" s="0" t="n">
        <v>113.6</v>
      </c>
      <c r="E270" s="0" t="n">
        <v>68201</v>
      </c>
      <c r="H270" s="0" t="n">
        <v>0.2507</v>
      </c>
      <c r="J270" s="0" t="n">
        <v>51330</v>
      </c>
      <c r="K270" s="0" t="n">
        <v>12868.58</v>
      </c>
    </row>
    <row r="271" customFormat="false" ht="15" hidden="false" customHeight="false" outlineLevel="0" collapsed="false">
      <c r="A271" s="0" t="n">
        <v>2024</v>
      </c>
      <c r="B271" s="0" t="n">
        <v>6</v>
      </c>
      <c r="C271" s="0" t="s">
        <v>22</v>
      </c>
      <c r="D271" s="0" t="n">
        <v>89.83</v>
      </c>
      <c r="E271" s="0" t="n">
        <v>45462</v>
      </c>
      <c r="H271" s="0" t="n">
        <v>0.2722</v>
      </c>
      <c r="J271" s="0" t="n">
        <v>42151</v>
      </c>
      <c r="K271" s="0" t="n">
        <v>11473.9</v>
      </c>
    </row>
    <row r="272" customFormat="false" ht="15" hidden="false" customHeight="false" outlineLevel="0" collapsed="false">
      <c r="A272" s="0" t="n">
        <v>2024</v>
      </c>
      <c r="B272" s="0" t="n">
        <v>7</v>
      </c>
      <c r="C272" s="0" t="s">
        <v>22</v>
      </c>
      <c r="D272" s="0" t="n">
        <v>320.98</v>
      </c>
      <c r="E272" s="0" t="n">
        <v>135608</v>
      </c>
      <c r="H272" s="0" t="n">
        <v>0.287</v>
      </c>
      <c r="J272" s="0" t="n">
        <v>67581</v>
      </c>
      <c r="K272" s="0" t="n">
        <v>19396.73</v>
      </c>
    </row>
    <row r="273" customFormat="false" ht="15" hidden="false" customHeight="false" outlineLevel="0" collapsed="false">
      <c r="A273" s="0" t="n">
        <v>2024</v>
      </c>
      <c r="B273" s="0" t="n">
        <v>8</v>
      </c>
      <c r="C273" s="0" t="s">
        <v>22</v>
      </c>
      <c r="D273" s="0" t="n">
        <v>138.87</v>
      </c>
      <c r="E273" s="0" t="n">
        <v>49569</v>
      </c>
      <c r="H273" s="0" t="n">
        <v>0.3047</v>
      </c>
      <c r="J273" s="0" t="n">
        <v>44796</v>
      </c>
      <c r="K273" s="0" t="n">
        <v>13651.04</v>
      </c>
    </row>
    <row r="274" customFormat="false" ht="15" hidden="false" customHeight="false" outlineLevel="0" collapsed="false">
      <c r="A274" s="0" t="n">
        <v>2024</v>
      </c>
      <c r="B274" s="0" t="n">
        <v>9</v>
      </c>
      <c r="C274" s="0" t="s">
        <v>22</v>
      </c>
      <c r="D274" s="0" t="n">
        <v>161.96</v>
      </c>
      <c r="E274" s="0" t="n">
        <v>58891</v>
      </c>
      <c r="H274" s="0" t="n">
        <v>0.2904</v>
      </c>
      <c r="J274" s="0" t="n">
        <v>52599</v>
      </c>
      <c r="K274" s="0" t="n">
        <v>15277.15</v>
      </c>
    </row>
    <row r="275" customFormat="false" ht="15" hidden="false" customHeight="false" outlineLevel="0" collapsed="false">
      <c r="A275" s="0" t="n">
        <v>2024</v>
      </c>
      <c r="B275" s="0" t="n">
        <v>10</v>
      </c>
      <c r="C275" s="0" t="s">
        <v>22</v>
      </c>
      <c r="D275" s="0" t="n">
        <v>324.95</v>
      </c>
      <c r="E275" s="0" t="n">
        <v>97270</v>
      </c>
      <c r="H275" s="0" t="n">
        <v>0.2856</v>
      </c>
      <c r="J275" s="0" t="n">
        <v>54362</v>
      </c>
      <c r="K275" s="0" t="n">
        <v>15523.99</v>
      </c>
    </row>
    <row r="276" customFormat="false" ht="15" hidden="false" customHeight="false" outlineLevel="0" collapsed="false">
      <c r="A276" s="0" t="n">
        <v>2024</v>
      </c>
      <c r="B276" s="0" t="n">
        <v>11</v>
      </c>
      <c r="C276" s="0" t="s">
        <v>22</v>
      </c>
      <c r="D276" s="0" t="n">
        <v>300.7</v>
      </c>
      <c r="E276" s="0" t="n">
        <v>119234</v>
      </c>
      <c r="F276" s="0" t="n">
        <v>686.86</v>
      </c>
      <c r="H276" s="0" t="n">
        <v>0.307</v>
      </c>
      <c r="I276" s="0" t="n">
        <v>210.86602</v>
      </c>
      <c r="J276" s="0" t="n">
        <v>64157</v>
      </c>
      <c r="K276" s="0" t="n">
        <v>19751.41</v>
      </c>
    </row>
    <row r="277" customFormat="false" ht="15" hidden="false" customHeight="false" outlineLevel="0" collapsed="false">
      <c r="A277" s="0" t="n">
        <v>2024</v>
      </c>
      <c r="B277" s="0" t="n">
        <v>12</v>
      </c>
      <c r="C277" s="0" t="s">
        <v>22</v>
      </c>
      <c r="D277" s="0" t="n">
        <v>120.3</v>
      </c>
      <c r="E277" s="0" t="n">
        <v>36466</v>
      </c>
      <c r="F277" s="0" t="n">
        <v>380.23</v>
      </c>
      <c r="H277" s="0" t="n">
        <v>0.331</v>
      </c>
      <c r="I277" s="0" t="n">
        <v>125.85613</v>
      </c>
      <c r="J277" s="0" t="n">
        <v>51593</v>
      </c>
      <c r="K277" s="0" t="n">
        <v>17063.94</v>
      </c>
    </row>
    <row r="278" customFormat="false" ht="15" hidden="false" customHeight="false" outlineLevel="0" collapsed="false">
      <c r="A278" s="0" t="n">
        <v>2025</v>
      </c>
      <c r="B278" s="0" t="n">
        <v>1</v>
      </c>
      <c r="C278" s="0" t="s">
        <v>22</v>
      </c>
      <c r="D278" s="0" t="n">
        <v>209.8</v>
      </c>
      <c r="E278" s="0" t="n">
        <v>62417</v>
      </c>
      <c r="F278" s="0" t="n">
        <v>485.73</v>
      </c>
      <c r="H278" s="0" t="n">
        <v>0.335</v>
      </c>
      <c r="I278" s="0" t="n">
        <v>162.71955</v>
      </c>
      <c r="J278" s="0" t="n">
        <v>61904</v>
      </c>
      <c r="K278" s="0" t="n">
        <v>20875.39</v>
      </c>
    </row>
    <row r="279" customFormat="false" ht="15" hidden="false" customHeight="false" outlineLevel="0" collapsed="false">
      <c r="A279" s="0" t="n">
        <v>2025</v>
      </c>
      <c r="B279" s="0" t="n">
        <v>2</v>
      </c>
      <c r="C279" s="0" t="s">
        <v>22</v>
      </c>
      <c r="D279" s="0" t="n">
        <v>277</v>
      </c>
      <c r="E279" s="0" t="n">
        <v>96598</v>
      </c>
      <c r="F279" s="0" t="n">
        <v>627.37</v>
      </c>
      <c r="H279" s="0" t="n">
        <v>0.334</v>
      </c>
      <c r="I279" s="0" t="n">
        <v>209.54158</v>
      </c>
      <c r="J279" s="0" t="n">
        <v>60366</v>
      </c>
      <c r="K279" s="0" t="n">
        <v>20173.7</v>
      </c>
    </row>
    <row r="280" customFormat="false" ht="15" hidden="false" customHeight="false" outlineLevel="0" collapsed="false">
      <c r="A280" s="0" t="n">
        <v>2025</v>
      </c>
      <c r="B280" s="0" t="n">
        <v>3</v>
      </c>
      <c r="C280" s="0" t="s">
        <v>22</v>
      </c>
      <c r="D280" s="0" t="n">
        <v>259.4</v>
      </c>
      <c r="E280" s="0" t="n">
        <v>83238</v>
      </c>
      <c r="F280" s="0" t="n">
        <v>650.34</v>
      </c>
      <c r="H280" s="0" t="n">
        <v>0.286</v>
      </c>
      <c r="I280" s="0" t="n">
        <v>185.99724</v>
      </c>
      <c r="J280" s="0" t="n">
        <v>58209</v>
      </c>
      <c r="K280" s="0" t="n">
        <v>16648.58</v>
      </c>
    </row>
    <row r="281" customFormat="false" ht="15" hidden="false" customHeight="false" outlineLevel="0" collapsed="false">
      <c r="A281" s="0" t="n">
        <v>2025</v>
      </c>
      <c r="B281" s="0" t="n">
        <v>4</v>
      </c>
      <c r="C281" s="0" t="s">
        <v>22</v>
      </c>
      <c r="D281" s="0" t="n">
        <v>243.6</v>
      </c>
      <c r="E281" s="0" t="n">
        <v>86947</v>
      </c>
      <c r="F281" s="0" t="n">
        <v>598.43</v>
      </c>
      <c r="H281" s="0" t="n">
        <v>0.2655</v>
      </c>
      <c r="I281" s="0" t="n">
        <v>158.883165</v>
      </c>
      <c r="J281" s="0" t="n">
        <v>41269</v>
      </c>
      <c r="K281" s="0" t="n">
        <v>10956.7</v>
      </c>
    </row>
    <row r="282" customFormat="false" ht="15" hidden="false" customHeight="false" outlineLevel="0" collapsed="false">
      <c r="A282" s="0" t="n">
        <v>2025</v>
      </c>
      <c r="B282" s="0" t="n">
        <v>5</v>
      </c>
      <c r="C282" s="0" t="s">
        <v>22</v>
      </c>
      <c r="D282" s="0" t="n">
        <v>244.8</v>
      </c>
      <c r="E282" s="0" t="n">
        <v>72060</v>
      </c>
      <c r="F282" s="0" t="n">
        <v>484.79</v>
      </c>
      <c r="H282" s="0" t="n">
        <v>0.2575</v>
      </c>
      <c r="I282" s="0" t="n">
        <v>124.833425</v>
      </c>
      <c r="J282" s="0" t="n">
        <v>30809</v>
      </c>
      <c r="K282" s="0" t="n">
        <v>7932.95</v>
      </c>
    </row>
    <row r="283" customFormat="false" ht="15" hidden="false" customHeight="false" outlineLevel="0" collapsed="false">
      <c r="A283" s="0" t="n">
        <v>2025</v>
      </c>
      <c r="B283" s="0" t="n">
        <v>6</v>
      </c>
      <c r="C283" s="0" t="s">
        <v>22</v>
      </c>
      <c r="D283" s="0" t="n">
        <v>239.3</v>
      </c>
      <c r="E283" s="0" t="n">
        <v>83892</v>
      </c>
      <c r="F283" s="0" t="n">
        <v>550.08</v>
      </c>
      <c r="H283" s="0" t="n">
        <v>0.355</v>
      </c>
      <c r="I283" s="0" t="n">
        <v>195.2784</v>
      </c>
      <c r="J283" s="0" t="n">
        <v>33644</v>
      </c>
      <c r="K283" s="0" t="n">
        <v>11949.42</v>
      </c>
    </row>
    <row r="284" customFormat="false" ht="15" hidden="false" customHeight="false" outlineLevel="0" collapsed="false">
      <c r="A284" s="0" t="n">
        <v>2025</v>
      </c>
      <c r="B284" s="0" t="n">
        <v>7</v>
      </c>
      <c r="C284" s="0" t="s">
        <v>22</v>
      </c>
      <c r="D284" s="0" t="n">
        <v>335.9</v>
      </c>
      <c r="E284" s="0" t="n">
        <v>114871</v>
      </c>
      <c r="F284" s="0" t="n">
        <v>770.29</v>
      </c>
      <c r="H284" s="0" t="n">
        <v>0.296</v>
      </c>
      <c r="I284" s="0" t="n">
        <v>228.00584</v>
      </c>
      <c r="J284" s="0" t="n">
        <v>51483</v>
      </c>
      <c r="K284" s="0" t="n">
        <v>15262.33</v>
      </c>
    </row>
    <row r="285" customFormat="false" ht="15" hidden="false" customHeight="false" outlineLevel="0" collapsed="false">
      <c r="A285" s="0" t="n">
        <v>2025</v>
      </c>
      <c r="B285" s="0" t="n">
        <v>8</v>
      </c>
      <c r="C285" s="0" t="s">
        <v>22</v>
      </c>
      <c r="D285" s="0" t="n">
        <v>43.05</v>
      </c>
      <c r="E285" s="0" t="n">
        <v>15723</v>
      </c>
      <c r="F285" s="0" t="n">
        <v>110.570000000001</v>
      </c>
      <c r="H285" s="0" t="n">
        <v>0.3268</v>
      </c>
      <c r="J285" s="0" t="n">
        <v>17650</v>
      </c>
      <c r="K285" s="0" t="n">
        <v>5768.63</v>
      </c>
    </row>
    <row r="286" customFormat="false" ht="15" hidden="false" customHeight="false" outlineLevel="0" collapsed="false">
      <c r="A286" s="0" t="n">
        <v>2025</v>
      </c>
      <c r="B286" s="0" t="n">
        <v>9</v>
      </c>
      <c r="C286" s="0" t="s">
        <v>22</v>
      </c>
      <c r="D286" s="0" t="n">
        <v>0</v>
      </c>
      <c r="E286" s="0" t="n">
        <v>0</v>
      </c>
      <c r="F286" s="0" t="n">
        <v>0</v>
      </c>
      <c r="H286" s="0" t="n">
        <v>0</v>
      </c>
      <c r="J286" s="0" t="n">
        <v>0</v>
      </c>
      <c r="K286" s="0" t="n">
        <v>0</v>
      </c>
    </row>
    <row r="287" customFormat="false" ht="15" hidden="false" customHeight="false" outlineLevel="0" collapsed="false">
      <c r="A287" s="0" t="n">
        <v>2025</v>
      </c>
      <c r="B287" s="0" t="n">
        <v>10</v>
      </c>
      <c r="C287" s="0" t="s">
        <v>22</v>
      </c>
      <c r="H287" s="0" t="n">
        <v>0</v>
      </c>
      <c r="J287" s="0" t="n">
        <v>0</v>
      </c>
      <c r="K287" s="0" t="n">
        <v>0</v>
      </c>
    </row>
    <row r="288" customFormat="false" ht="15" hidden="false" customHeight="false" outlineLevel="0" collapsed="false">
      <c r="A288" s="0" t="n">
        <v>2025</v>
      </c>
      <c r="B288" s="0" t="n">
        <v>11</v>
      </c>
      <c r="C288" s="0" t="s">
        <v>22</v>
      </c>
      <c r="H288" s="0" t="n">
        <v>0</v>
      </c>
      <c r="J288" s="0" t="n">
        <v>0</v>
      </c>
      <c r="K288" s="0" t="n">
        <v>0</v>
      </c>
    </row>
    <row r="289" customFormat="false" ht="15" hidden="false" customHeight="false" outlineLevel="0" collapsed="false">
      <c r="A289" s="0" t="n">
        <v>2025</v>
      </c>
      <c r="B289" s="0" t="n">
        <v>12</v>
      </c>
      <c r="C289" s="0" t="s">
        <v>22</v>
      </c>
      <c r="H289" s="0" t="n">
        <v>0</v>
      </c>
      <c r="J289" s="0" t="n">
        <v>0</v>
      </c>
      <c r="K289" s="0" t="n">
        <v>0</v>
      </c>
    </row>
    <row r="290" customFormat="false" ht="15" hidden="false" customHeight="false" outlineLevel="0" collapsed="false">
      <c r="A290" s="0" t="n">
        <v>2024</v>
      </c>
      <c r="B290" s="0" t="n">
        <v>1</v>
      </c>
      <c r="C290" s="0" t="s">
        <v>23</v>
      </c>
      <c r="D290" s="0" t="n">
        <v>19.89</v>
      </c>
      <c r="E290" s="0" t="n">
        <v>15714</v>
      </c>
      <c r="H290" s="0" t="n">
        <v>0.2557</v>
      </c>
      <c r="J290" s="0" t="n">
        <v>64934</v>
      </c>
      <c r="K290" s="0" t="n">
        <v>16601.39</v>
      </c>
    </row>
    <row r="291" customFormat="false" ht="15" hidden="false" customHeight="false" outlineLevel="0" collapsed="false">
      <c r="A291" s="0" t="n">
        <v>2024</v>
      </c>
      <c r="B291" s="0" t="n">
        <v>2</v>
      </c>
      <c r="C291" s="0" t="s">
        <v>23</v>
      </c>
      <c r="D291" s="0" t="n">
        <v>14.88</v>
      </c>
      <c r="E291" s="0" t="n">
        <v>12219</v>
      </c>
      <c r="H291" s="0" t="n">
        <v>0.2378</v>
      </c>
      <c r="J291" s="0" t="n">
        <v>71197</v>
      </c>
      <c r="K291" s="0" t="n">
        <v>16934</v>
      </c>
    </row>
    <row r="292" customFormat="false" ht="15" hidden="false" customHeight="false" outlineLevel="0" collapsed="false">
      <c r="A292" s="0" t="n">
        <v>2024</v>
      </c>
      <c r="B292" s="0" t="n">
        <v>3</v>
      </c>
      <c r="C292" s="0" t="s">
        <v>23</v>
      </c>
      <c r="D292" s="0" t="n">
        <v>26.77</v>
      </c>
      <c r="E292" s="0" t="n">
        <v>26114</v>
      </c>
      <c r="H292" s="0" t="n">
        <v>0.2428</v>
      </c>
      <c r="J292" s="0" t="n">
        <v>51152</v>
      </c>
      <c r="K292" s="0" t="n">
        <v>12419.74</v>
      </c>
    </row>
    <row r="293" customFormat="false" ht="15" hidden="false" customHeight="false" outlineLevel="0" collapsed="false">
      <c r="A293" s="0" t="n">
        <v>2024</v>
      </c>
      <c r="B293" s="0" t="n">
        <v>4</v>
      </c>
      <c r="C293" s="0" t="s">
        <v>23</v>
      </c>
      <c r="D293" s="0" t="n">
        <v>4.82</v>
      </c>
      <c r="E293" s="0" t="n">
        <v>3228</v>
      </c>
      <c r="H293" s="0" t="n">
        <v>0.2416</v>
      </c>
      <c r="J293" s="0" t="n">
        <v>45316</v>
      </c>
      <c r="K293" s="0" t="n">
        <v>10948.47</v>
      </c>
    </row>
    <row r="294" customFormat="false" ht="15" hidden="false" customHeight="false" outlineLevel="0" collapsed="false">
      <c r="A294" s="0" t="n">
        <v>2024</v>
      </c>
      <c r="B294" s="0" t="n">
        <v>5</v>
      </c>
      <c r="C294" s="0" t="s">
        <v>23</v>
      </c>
      <c r="D294" s="0" t="n">
        <v>0</v>
      </c>
      <c r="E294" s="0" t="n">
        <v>0</v>
      </c>
      <c r="H294" s="0" t="n">
        <v>0.2507</v>
      </c>
      <c r="J294" s="0" t="n">
        <v>51330</v>
      </c>
      <c r="K294" s="0" t="n">
        <v>12868.58</v>
      </c>
    </row>
    <row r="295" customFormat="false" ht="15" hidden="false" customHeight="false" outlineLevel="0" collapsed="false">
      <c r="A295" s="0" t="n">
        <v>2024</v>
      </c>
      <c r="B295" s="0" t="n">
        <v>6</v>
      </c>
      <c r="C295" s="0" t="s">
        <v>23</v>
      </c>
      <c r="D295" s="0" t="n">
        <v>8.49</v>
      </c>
      <c r="E295" s="0" t="n">
        <v>4882</v>
      </c>
      <c r="H295" s="0" t="n">
        <v>0.2722</v>
      </c>
      <c r="J295" s="0" t="n">
        <v>42151</v>
      </c>
      <c r="K295" s="0" t="n">
        <v>11473.9</v>
      </c>
    </row>
    <row r="296" customFormat="false" ht="15" hidden="false" customHeight="false" outlineLevel="0" collapsed="false">
      <c r="A296" s="0" t="n">
        <v>2024</v>
      </c>
      <c r="B296" s="0" t="n">
        <v>7</v>
      </c>
      <c r="C296" s="0" t="s">
        <v>23</v>
      </c>
      <c r="D296" s="0" t="n">
        <v>60.69</v>
      </c>
      <c r="E296" s="0" t="n">
        <v>39984</v>
      </c>
      <c r="H296" s="0" t="n">
        <v>0.287</v>
      </c>
      <c r="J296" s="0" t="n">
        <v>67581</v>
      </c>
      <c r="K296" s="0" t="n">
        <v>19396.73</v>
      </c>
    </row>
    <row r="297" customFormat="false" ht="15" hidden="false" customHeight="false" outlineLevel="0" collapsed="false">
      <c r="A297" s="0" t="n">
        <v>2024</v>
      </c>
      <c r="B297" s="0" t="n">
        <v>8</v>
      </c>
      <c r="C297" s="0" t="s">
        <v>23</v>
      </c>
      <c r="D297" s="0" t="n">
        <v>43.39</v>
      </c>
      <c r="E297" s="0" t="n">
        <v>40507</v>
      </c>
      <c r="H297" s="0" t="n">
        <v>0.3047</v>
      </c>
      <c r="J297" s="0" t="n">
        <v>44796</v>
      </c>
      <c r="K297" s="0" t="n">
        <v>13651.04</v>
      </c>
    </row>
    <row r="298" customFormat="false" ht="15" hidden="false" customHeight="false" outlineLevel="0" collapsed="false">
      <c r="A298" s="0" t="n">
        <v>2024</v>
      </c>
      <c r="B298" s="0" t="n">
        <v>9</v>
      </c>
      <c r="C298" s="0" t="s">
        <v>23</v>
      </c>
      <c r="D298" s="0" t="n">
        <v>8.4</v>
      </c>
      <c r="E298" s="0" t="n">
        <v>8670</v>
      </c>
      <c r="H298" s="0" t="n">
        <v>0.2904</v>
      </c>
      <c r="J298" s="0" t="n">
        <v>52599</v>
      </c>
      <c r="K298" s="0" t="n">
        <v>15277.15</v>
      </c>
    </row>
    <row r="299" customFormat="false" ht="15" hidden="false" customHeight="false" outlineLevel="0" collapsed="false">
      <c r="A299" s="0" t="n">
        <v>2024</v>
      </c>
      <c r="B299" s="0" t="n">
        <v>10</v>
      </c>
      <c r="C299" s="0" t="s">
        <v>23</v>
      </c>
      <c r="D299" s="0" t="n">
        <v>37.13</v>
      </c>
      <c r="E299" s="0" t="n">
        <v>38444</v>
      </c>
      <c r="H299" s="0" t="n">
        <v>0.2856</v>
      </c>
      <c r="J299" s="0" t="n">
        <v>54362</v>
      </c>
      <c r="K299" s="0" t="n">
        <v>15523.99</v>
      </c>
    </row>
    <row r="300" customFormat="false" ht="15" hidden="false" customHeight="false" outlineLevel="0" collapsed="false">
      <c r="A300" s="0" t="n">
        <v>2024</v>
      </c>
      <c r="B300" s="0" t="n">
        <v>11</v>
      </c>
      <c r="C300" s="0" t="s">
        <v>23</v>
      </c>
      <c r="D300" s="0" t="n">
        <v>100.3</v>
      </c>
      <c r="E300" s="0" t="n">
        <v>80847</v>
      </c>
      <c r="F300" s="0" t="n">
        <v>199.43</v>
      </c>
      <c r="H300" s="0" t="n">
        <v>0.307</v>
      </c>
      <c r="I300" s="0" t="n">
        <v>61.22501</v>
      </c>
      <c r="J300" s="0" t="n">
        <v>64157</v>
      </c>
      <c r="K300" s="0" t="n">
        <v>19751.41</v>
      </c>
    </row>
    <row r="301" customFormat="false" ht="15" hidden="false" customHeight="false" outlineLevel="0" collapsed="false">
      <c r="A301" s="0" t="n">
        <v>2024</v>
      </c>
      <c r="B301" s="0" t="n">
        <v>12</v>
      </c>
      <c r="C301" s="0" t="s">
        <v>23</v>
      </c>
      <c r="D301" s="0" t="n">
        <v>29.1</v>
      </c>
      <c r="E301" s="0" t="n">
        <v>26098</v>
      </c>
      <c r="F301" s="0" t="n">
        <v>64.6</v>
      </c>
      <c r="H301" s="0" t="n">
        <v>0.331</v>
      </c>
      <c r="I301" s="0" t="n">
        <v>21.3826</v>
      </c>
      <c r="J301" s="0" t="n">
        <v>51593</v>
      </c>
      <c r="K301" s="0" t="n">
        <v>17063.94</v>
      </c>
    </row>
    <row r="302" customFormat="false" ht="15" hidden="false" customHeight="false" outlineLevel="0" collapsed="false">
      <c r="A302" s="0" t="n">
        <v>2025</v>
      </c>
      <c r="B302" s="0" t="n">
        <v>1</v>
      </c>
      <c r="C302" s="0" t="s">
        <v>23</v>
      </c>
      <c r="D302" s="0" t="n">
        <v>33.6</v>
      </c>
      <c r="E302" s="0" t="n">
        <v>36485</v>
      </c>
      <c r="F302" s="0" t="n">
        <v>85.99</v>
      </c>
      <c r="H302" s="0" t="n">
        <v>0.335</v>
      </c>
      <c r="I302" s="0" t="n">
        <v>28.80665</v>
      </c>
      <c r="J302" s="0" t="n">
        <v>61904</v>
      </c>
      <c r="K302" s="0" t="n">
        <v>20875.39</v>
      </c>
    </row>
    <row r="303" customFormat="false" ht="15" hidden="false" customHeight="false" outlineLevel="0" collapsed="false">
      <c r="A303" s="0" t="n">
        <v>2025</v>
      </c>
      <c r="B303" s="0" t="n">
        <v>2</v>
      </c>
      <c r="C303" s="0" t="s">
        <v>23</v>
      </c>
      <c r="D303" s="0" t="n">
        <v>20.4</v>
      </c>
      <c r="E303" s="0" t="n">
        <v>15760</v>
      </c>
      <c r="F303" s="0" t="n">
        <v>42.1</v>
      </c>
      <c r="H303" s="0" t="n">
        <v>0.334</v>
      </c>
      <c r="I303" s="0" t="n">
        <v>14.0614</v>
      </c>
      <c r="J303" s="0" t="n">
        <v>60366</v>
      </c>
      <c r="K303" s="0" t="n">
        <v>20173.7</v>
      </c>
    </row>
    <row r="304" customFormat="false" ht="15" hidden="false" customHeight="false" outlineLevel="0" collapsed="false">
      <c r="A304" s="0" t="n">
        <v>2025</v>
      </c>
      <c r="B304" s="0" t="n">
        <v>3</v>
      </c>
      <c r="C304" s="0" t="s">
        <v>23</v>
      </c>
      <c r="D304" s="0" t="n">
        <v>110.7</v>
      </c>
      <c r="E304" s="0" t="n">
        <v>86910</v>
      </c>
      <c r="F304" s="0" t="n">
        <v>112.05</v>
      </c>
      <c r="H304" s="0" t="n">
        <v>0.286</v>
      </c>
      <c r="I304" s="0" t="n">
        <v>32.0463</v>
      </c>
      <c r="J304" s="0" t="n">
        <v>58209</v>
      </c>
      <c r="K304" s="0" t="n">
        <v>16648.58</v>
      </c>
    </row>
    <row r="305" customFormat="false" ht="15" hidden="false" customHeight="false" outlineLevel="0" collapsed="false">
      <c r="A305" s="0" t="n">
        <v>2025</v>
      </c>
      <c r="B305" s="0" t="n">
        <v>4</v>
      </c>
      <c r="C305" s="0" t="s">
        <v>23</v>
      </c>
      <c r="D305" s="0" t="n">
        <v>105.6</v>
      </c>
      <c r="E305" s="0" t="n">
        <v>129675</v>
      </c>
      <c r="F305" s="0" t="n">
        <v>123.66</v>
      </c>
      <c r="H305" s="0" t="n">
        <v>0.2655</v>
      </c>
      <c r="I305" s="0" t="n">
        <v>32.83173</v>
      </c>
      <c r="J305" s="0" t="n">
        <v>41269</v>
      </c>
      <c r="K305" s="0" t="n">
        <v>10956.7</v>
      </c>
    </row>
    <row r="306" customFormat="false" ht="15" hidden="false" customHeight="false" outlineLevel="0" collapsed="false">
      <c r="A306" s="0" t="n">
        <v>2025</v>
      </c>
      <c r="B306" s="0" t="n">
        <v>5</v>
      </c>
      <c r="C306" s="0" t="s">
        <v>23</v>
      </c>
      <c r="D306" s="0" t="n">
        <v>31</v>
      </c>
      <c r="E306" s="0" t="n">
        <v>45169</v>
      </c>
      <c r="F306" s="0" t="n">
        <v>47.18</v>
      </c>
      <c r="H306" s="0" t="n">
        <v>0.2575</v>
      </c>
      <c r="I306" s="0" t="n">
        <v>12.14885</v>
      </c>
      <c r="J306" s="0" t="n">
        <v>30809</v>
      </c>
      <c r="K306" s="0" t="n">
        <v>7932.95</v>
      </c>
    </row>
    <row r="307" customFormat="false" ht="15" hidden="false" customHeight="false" outlineLevel="0" collapsed="false">
      <c r="A307" s="0" t="n">
        <v>2025</v>
      </c>
      <c r="B307" s="0" t="n">
        <v>6</v>
      </c>
      <c r="C307" s="0" t="s">
        <v>23</v>
      </c>
      <c r="D307" s="0" t="n">
        <v>28.2</v>
      </c>
      <c r="E307" s="0" t="n">
        <v>29781</v>
      </c>
      <c r="F307" s="0" t="n">
        <v>62.4200000000001</v>
      </c>
      <c r="H307" s="0" t="n">
        <v>0.355</v>
      </c>
      <c r="I307" s="0" t="n">
        <v>22.1591</v>
      </c>
      <c r="J307" s="0" t="n">
        <v>33644</v>
      </c>
      <c r="K307" s="0" t="n">
        <v>11949.42</v>
      </c>
    </row>
    <row r="308" customFormat="false" ht="15" hidden="false" customHeight="false" outlineLevel="0" collapsed="false">
      <c r="A308" s="0" t="n">
        <v>2025</v>
      </c>
      <c r="B308" s="0" t="n">
        <v>7</v>
      </c>
      <c r="C308" s="0" t="s">
        <v>23</v>
      </c>
      <c r="D308" s="0" t="n">
        <v>145.4</v>
      </c>
      <c r="E308" s="0" t="n">
        <v>136744</v>
      </c>
      <c r="F308" s="0" t="n">
        <v>249.28</v>
      </c>
      <c r="H308" s="0" t="n">
        <v>0.296</v>
      </c>
      <c r="I308" s="0" t="n">
        <v>73.78688</v>
      </c>
      <c r="J308" s="0" t="n">
        <v>51483</v>
      </c>
      <c r="K308" s="0" t="n">
        <v>15262.33</v>
      </c>
    </row>
    <row r="309" customFormat="false" ht="15" hidden="false" customHeight="false" outlineLevel="0" collapsed="false">
      <c r="A309" s="0" t="n">
        <v>2025</v>
      </c>
      <c r="B309" s="0" t="n">
        <v>8</v>
      </c>
      <c r="C309" s="0" t="s">
        <v>23</v>
      </c>
      <c r="D309" s="0" t="n">
        <v>0</v>
      </c>
      <c r="E309" s="0" t="n">
        <v>0</v>
      </c>
      <c r="F309" s="0" t="n">
        <v>4.5</v>
      </c>
      <c r="H309" s="0" t="n">
        <v>0.3268</v>
      </c>
      <c r="J309" s="0" t="n">
        <v>17650</v>
      </c>
      <c r="K309" s="0" t="n">
        <v>5768.63</v>
      </c>
    </row>
    <row r="310" customFormat="false" ht="15" hidden="false" customHeight="false" outlineLevel="0" collapsed="false">
      <c r="A310" s="0" t="n">
        <v>2025</v>
      </c>
      <c r="B310" s="0" t="n">
        <v>9</v>
      </c>
      <c r="C310" s="0" t="s">
        <v>23</v>
      </c>
      <c r="D310" s="0" t="n">
        <v>0</v>
      </c>
      <c r="E310" s="0" t="n">
        <v>0</v>
      </c>
      <c r="F310" s="0" t="n">
        <v>3.52999999999997</v>
      </c>
      <c r="H310" s="0" t="n">
        <v>0</v>
      </c>
      <c r="J310" s="0" t="n">
        <v>0</v>
      </c>
      <c r="K310" s="0" t="n">
        <v>0</v>
      </c>
    </row>
    <row r="311" customFormat="false" ht="15" hidden="false" customHeight="false" outlineLevel="0" collapsed="false">
      <c r="A311" s="0" t="n">
        <v>2025</v>
      </c>
      <c r="B311" s="0" t="n">
        <v>10</v>
      </c>
      <c r="C311" s="0" t="s">
        <v>23</v>
      </c>
      <c r="H311" s="0" t="n">
        <v>0</v>
      </c>
      <c r="J311" s="0" t="n">
        <v>0</v>
      </c>
      <c r="K311" s="0" t="n">
        <v>0</v>
      </c>
    </row>
    <row r="312" customFormat="false" ht="15" hidden="false" customHeight="false" outlineLevel="0" collapsed="false">
      <c r="A312" s="0" t="n">
        <v>2025</v>
      </c>
      <c r="B312" s="0" t="n">
        <v>11</v>
      </c>
      <c r="C312" s="0" t="s">
        <v>23</v>
      </c>
      <c r="H312" s="0" t="n">
        <v>0</v>
      </c>
      <c r="J312" s="0" t="n">
        <v>0</v>
      </c>
      <c r="K312" s="0" t="n">
        <v>0</v>
      </c>
    </row>
    <row r="313" customFormat="false" ht="15" hidden="false" customHeight="false" outlineLevel="0" collapsed="false">
      <c r="A313" s="0" t="n">
        <v>2025</v>
      </c>
      <c r="B313" s="0" t="n">
        <v>12</v>
      </c>
      <c r="C313" s="0" t="s">
        <v>23</v>
      </c>
      <c r="H313" s="0" t="n">
        <v>0</v>
      </c>
      <c r="J313" s="0" t="n">
        <v>0</v>
      </c>
      <c r="K313" s="0" t="n">
        <v>0</v>
      </c>
    </row>
    <row r="314" customFormat="false" ht="15" hidden="false" customHeight="false" outlineLevel="0" collapsed="false">
      <c r="A314" s="0" t="n">
        <v>2024</v>
      </c>
      <c r="B314" s="0" t="n">
        <v>1</v>
      </c>
      <c r="C314" s="0" t="s">
        <v>24</v>
      </c>
      <c r="D314" s="0" t="n">
        <v>0</v>
      </c>
      <c r="E314" s="0" t="n">
        <v>0</v>
      </c>
      <c r="H314" s="0" t="n">
        <v>0.2557</v>
      </c>
      <c r="J314" s="0" t="n">
        <v>64934</v>
      </c>
      <c r="K314" s="0" t="n">
        <v>16601.39</v>
      </c>
    </row>
    <row r="315" customFormat="false" ht="15" hidden="false" customHeight="false" outlineLevel="0" collapsed="false">
      <c r="A315" s="0" t="n">
        <v>2024</v>
      </c>
      <c r="B315" s="0" t="n">
        <v>2</v>
      </c>
      <c r="C315" s="0" t="s">
        <v>24</v>
      </c>
      <c r="D315" s="0" t="n">
        <v>0</v>
      </c>
      <c r="E315" s="0" t="n">
        <v>0</v>
      </c>
      <c r="H315" s="0" t="n">
        <v>0.2378</v>
      </c>
      <c r="J315" s="0" t="n">
        <v>71197</v>
      </c>
      <c r="K315" s="0" t="n">
        <v>16934</v>
      </c>
    </row>
    <row r="316" customFormat="false" ht="15" hidden="false" customHeight="false" outlineLevel="0" collapsed="false">
      <c r="A316" s="0" t="n">
        <v>2024</v>
      </c>
      <c r="B316" s="0" t="n">
        <v>3</v>
      </c>
      <c r="C316" s="0" t="s">
        <v>24</v>
      </c>
      <c r="D316" s="0" t="n">
        <v>0</v>
      </c>
      <c r="E316" s="0" t="n">
        <v>0</v>
      </c>
      <c r="H316" s="0" t="n">
        <v>0.2428</v>
      </c>
      <c r="J316" s="0" t="n">
        <v>51152</v>
      </c>
      <c r="K316" s="0" t="n">
        <v>12419.74</v>
      </c>
    </row>
    <row r="317" customFormat="false" ht="15" hidden="false" customHeight="false" outlineLevel="0" collapsed="false">
      <c r="A317" s="0" t="n">
        <v>2024</v>
      </c>
      <c r="B317" s="0" t="n">
        <v>4</v>
      </c>
      <c r="C317" s="0" t="s">
        <v>24</v>
      </c>
      <c r="D317" s="0" t="n">
        <v>0</v>
      </c>
      <c r="E317" s="0" t="n">
        <v>0</v>
      </c>
      <c r="H317" s="0" t="n">
        <v>0.2416</v>
      </c>
      <c r="J317" s="0" t="n">
        <v>45316</v>
      </c>
      <c r="K317" s="0" t="n">
        <v>10948.47</v>
      </c>
    </row>
    <row r="318" customFormat="false" ht="15" hidden="false" customHeight="false" outlineLevel="0" collapsed="false">
      <c r="A318" s="0" t="n">
        <v>2024</v>
      </c>
      <c r="B318" s="0" t="n">
        <v>5</v>
      </c>
      <c r="C318" s="0" t="s">
        <v>24</v>
      </c>
      <c r="D318" s="0" t="n">
        <v>0</v>
      </c>
      <c r="E318" s="0" t="n">
        <v>700</v>
      </c>
      <c r="H318" s="0" t="n">
        <v>0.2507</v>
      </c>
      <c r="J318" s="0" t="n">
        <v>51330</v>
      </c>
      <c r="K318" s="0" t="n">
        <v>12868.58</v>
      </c>
    </row>
    <row r="319" customFormat="false" ht="15" hidden="false" customHeight="false" outlineLevel="0" collapsed="false">
      <c r="A319" s="0" t="n">
        <v>2024</v>
      </c>
      <c r="B319" s="0" t="n">
        <v>6</v>
      </c>
      <c r="C319" s="0" t="s">
        <v>24</v>
      </c>
      <c r="D319" s="0" t="n">
        <v>0</v>
      </c>
      <c r="E319" s="0" t="n">
        <v>0</v>
      </c>
      <c r="H319" s="0" t="n">
        <v>0.2722</v>
      </c>
      <c r="J319" s="0" t="n">
        <v>42151</v>
      </c>
      <c r="K319" s="0" t="n">
        <v>11473.9</v>
      </c>
    </row>
    <row r="320" customFormat="false" ht="15" hidden="false" customHeight="false" outlineLevel="0" collapsed="false">
      <c r="A320" s="0" t="n">
        <v>2024</v>
      </c>
      <c r="B320" s="0" t="n">
        <v>7</v>
      </c>
      <c r="C320" s="0" t="s">
        <v>24</v>
      </c>
      <c r="D320" s="0" t="n">
        <v>0</v>
      </c>
      <c r="E320" s="0" t="n">
        <v>0</v>
      </c>
      <c r="H320" s="0" t="n">
        <v>0.287</v>
      </c>
      <c r="J320" s="0" t="n">
        <v>67581</v>
      </c>
      <c r="K320" s="0" t="n">
        <v>19396.73</v>
      </c>
    </row>
    <row r="321" customFormat="false" ht="15" hidden="false" customHeight="false" outlineLevel="0" collapsed="false">
      <c r="A321" s="0" t="n">
        <v>2024</v>
      </c>
      <c r="B321" s="0" t="n">
        <v>8</v>
      </c>
      <c r="C321" s="0" t="s">
        <v>24</v>
      </c>
      <c r="D321" s="0" t="n">
        <v>0</v>
      </c>
      <c r="E321" s="0" t="n">
        <v>0</v>
      </c>
      <c r="H321" s="0" t="n">
        <v>0.3047</v>
      </c>
      <c r="J321" s="0" t="n">
        <v>44796</v>
      </c>
      <c r="K321" s="0" t="n">
        <v>13651.04</v>
      </c>
    </row>
    <row r="322" customFormat="false" ht="15" hidden="false" customHeight="false" outlineLevel="0" collapsed="false">
      <c r="A322" s="0" t="n">
        <v>2024</v>
      </c>
      <c r="B322" s="0" t="n">
        <v>9</v>
      </c>
      <c r="C322" s="0" t="s">
        <v>24</v>
      </c>
      <c r="D322" s="0" t="n">
        <v>0</v>
      </c>
      <c r="E322" s="0" t="n">
        <v>500</v>
      </c>
      <c r="H322" s="0" t="n">
        <v>0.2904</v>
      </c>
      <c r="J322" s="0" t="n">
        <v>52599</v>
      </c>
      <c r="K322" s="0" t="n">
        <v>15277.15</v>
      </c>
    </row>
    <row r="323" customFormat="false" ht="15" hidden="false" customHeight="false" outlineLevel="0" collapsed="false">
      <c r="A323" s="0" t="n">
        <v>2024</v>
      </c>
      <c r="B323" s="0" t="n">
        <v>10</v>
      </c>
      <c r="C323" s="0" t="s">
        <v>24</v>
      </c>
      <c r="D323" s="0" t="n">
        <v>0</v>
      </c>
      <c r="E323" s="0" t="n">
        <v>0</v>
      </c>
      <c r="H323" s="0" t="n">
        <v>0.2856</v>
      </c>
      <c r="J323" s="0" t="n">
        <v>54362</v>
      </c>
      <c r="K323" s="0" t="n">
        <v>15523.99</v>
      </c>
    </row>
    <row r="324" customFormat="false" ht="15" hidden="false" customHeight="false" outlineLevel="0" collapsed="false">
      <c r="A324" s="0" t="n">
        <v>2024</v>
      </c>
      <c r="B324" s="0" t="n">
        <v>11</v>
      </c>
      <c r="C324" s="0" t="s">
        <v>24</v>
      </c>
      <c r="D324" s="0" t="n">
        <v>0</v>
      </c>
      <c r="E324" s="0" t="n">
        <v>264</v>
      </c>
      <c r="H324" s="0" t="n">
        <v>0.307</v>
      </c>
      <c r="I324" s="0" t="n">
        <v>0</v>
      </c>
      <c r="J324" s="0" t="n">
        <v>64157</v>
      </c>
      <c r="K324" s="0" t="n">
        <v>19751.41</v>
      </c>
    </row>
    <row r="325" customFormat="false" ht="15" hidden="false" customHeight="false" outlineLevel="0" collapsed="false">
      <c r="A325" s="0" t="n">
        <v>2024</v>
      </c>
      <c r="B325" s="0" t="n">
        <v>12</v>
      </c>
      <c r="C325" s="0" t="s">
        <v>24</v>
      </c>
      <c r="D325" s="0" t="n">
        <v>0</v>
      </c>
      <c r="E325" s="0" t="n">
        <v>0</v>
      </c>
      <c r="H325" s="0" t="n">
        <v>0.331</v>
      </c>
      <c r="I325" s="0" t="n">
        <v>0</v>
      </c>
      <c r="J325" s="0" t="n">
        <v>51593</v>
      </c>
      <c r="K325" s="0" t="n">
        <v>17063.94</v>
      </c>
    </row>
    <row r="326" customFormat="false" ht="15" hidden="false" customHeight="false" outlineLevel="0" collapsed="false">
      <c r="A326" s="0" t="n">
        <v>2025</v>
      </c>
      <c r="B326" s="0" t="n">
        <v>1</v>
      </c>
      <c r="C326" s="0" t="s">
        <v>24</v>
      </c>
      <c r="D326" s="0" t="n">
        <v>0</v>
      </c>
      <c r="E326" s="0" t="n">
        <v>0</v>
      </c>
      <c r="H326" s="0" t="n">
        <v>0.335</v>
      </c>
      <c r="I326" s="0" t="n">
        <v>0</v>
      </c>
      <c r="J326" s="0" t="n">
        <v>61904</v>
      </c>
      <c r="K326" s="0" t="n">
        <v>20875.39</v>
      </c>
    </row>
    <row r="327" customFormat="false" ht="15" hidden="false" customHeight="false" outlineLevel="0" collapsed="false">
      <c r="A327" s="0" t="n">
        <v>2025</v>
      </c>
      <c r="B327" s="0" t="n">
        <v>2</v>
      </c>
      <c r="C327" s="0" t="s">
        <v>24</v>
      </c>
      <c r="D327" s="0" t="n">
        <v>0</v>
      </c>
      <c r="E327" s="0" t="n">
        <v>0</v>
      </c>
      <c r="H327" s="0" t="n">
        <v>0.334</v>
      </c>
      <c r="I327" s="0" t="n">
        <v>0</v>
      </c>
      <c r="J327" s="0" t="n">
        <v>60366</v>
      </c>
      <c r="K327" s="0" t="n">
        <v>20173.7</v>
      </c>
    </row>
    <row r="328" customFormat="false" ht="15" hidden="false" customHeight="false" outlineLevel="0" collapsed="false">
      <c r="A328" s="0" t="n">
        <v>2025</v>
      </c>
      <c r="B328" s="0" t="n">
        <v>3</v>
      </c>
      <c r="C328" s="0" t="s">
        <v>24</v>
      </c>
      <c r="D328" s="0" t="n">
        <v>0</v>
      </c>
      <c r="E328" s="0" t="n">
        <v>0</v>
      </c>
      <c r="H328" s="0" t="n">
        <v>0.286</v>
      </c>
      <c r="I328" s="0" t="n">
        <v>0</v>
      </c>
      <c r="J328" s="0" t="n">
        <v>58209</v>
      </c>
      <c r="K328" s="0" t="n">
        <v>16648.58</v>
      </c>
    </row>
    <row r="329" customFormat="false" ht="15" hidden="false" customHeight="false" outlineLevel="0" collapsed="false">
      <c r="A329" s="0" t="n">
        <v>2025</v>
      </c>
      <c r="B329" s="0" t="n">
        <v>4</v>
      </c>
      <c r="C329" s="0" t="s">
        <v>24</v>
      </c>
      <c r="D329" s="0" t="n">
        <v>0</v>
      </c>
      <c r="E329" s="0" t="n">
        <v>0</v>
      </c>
      <c r="H329" s="0" t="n">
        <v>0.2655</v>
      </c>
      <c r="I329" s="0" t="n">
        <v>0</v>
      </c>
      <c r="J329" s="0" t="n">
        <v>41269</v>
      </c>
      <c r="K329" s="0" t="n">
        <v>10956.7</v>
      </c>
    </row>
    <row r="330" customFormat="false" ht="15" hidden="false" customHeight="false" outlineLevel="0" collapsed="false">
      <c r="A330" s="0" t="n">
        <v>2025</v>
      </c>
      <c r="B330" s="0" t="n">
        <v>5</v>
      </c>
      <c r="C330" s="0" t="s">
        <v>24</v>
      </c>
      <c r="D330" s="0" t="n">
        <v>0</v>
      </c>
      <c r="E330" s="0" t="n">
        <v>0</v>
      </c>
      <c r="H330" s="0" t="n">
        <v>0.2575</v>
      </c>
      <c r="I330" s="0" t="n">
        <v>0</v>
      </c>
      <c r="J330" s="0" t="n">
        <v>30809</v>
      </c>
      <c r="K330" s="0" t="n">
        <v>7932.95</v>
      </c>
    </row>
    <row r="331" customFormat="false" ht="15" hidden="false" customHeight="false" outlineLevel="0" collapsed="false">
      <c r="A331" s="0" t="n">
        <v>2025</v>
      </c>
      <c r="B331" s="0" t="n">
        <v>6</v>
      </c>
      <c r="C331" s="0" t="s">
        <v>24</v>
      </c>
      <c r="D331" s="0" t="n">
        <v>0</v>
      </c>
      <c r="E331" s="0" t="n">
        <v>0</v>
      </c>
      <c r="H331" s="0" t="n">
        <v>0.355</v>
      </c>
      <c r="I331" s="0" t="n">
        <v>0</v>
      </c>
      <c r="J331" s="0" t="n">
        <v>33644</v>
      </c>
      <c r="K331" s="0" t="n">
        <v>11949.42</v>
      </c>
    </row>
    <row r="332" customFormat="false" ht="15" hidden="false" customHeight="false" outlineLevel="0" collapsed="false">
      <c r="A332" s="0" t="n">
        <v>2025</v>
      </c>
      <c r="B332" s="0" t="n">
        <v>7</v>
      </c>
      <c r="C332" s="0" t="s">
        <v>24</v>
      </c>
      <c r="D332" s="0" t="n">
        <v>0</v>
      </c>
      <c r="E332" s="0" t="n">
        <v>0</v>
      </c>
      <c r="H332" s="0" t="n">
        <v>0.296</v>
      </c>
      <c r="I332" s="0" t="n">
        <v>0</v>
      </c>
      <c r="J332" s="0" t="n">
        <v>51483</v>
      </c>
      <c r="K332" s="0" t="n">
        <v>15262.33</v>
      </c>
    </row>
    <row r="333" customFormat="false" ht="15" hidden="false" customHeight="false" outlineLevel="0" collapsed="false">
      <c r="A333" s="0" t="n">
        <v>2025</v>
      </c>
      <c r="B333" s="0" t="n">
        <v>8</v>
      </c>
      <c r="C333" s="0" t="s">
        <v>24</v>
      </c>
      <c r="D333" s="0" t="n">
        <v>0</v>
      </c>
      <c r="E333" s="0" t="n">
        <v>0</v>
      </c>
      <c r="H333" s="0" t="n">
        <v>0.3268</v>
      </c>
      <c r="J333" s="0" t="n">
        <v>17650</v>
      </c>
      <c r="K333" s="0" t="n">
        <v>5768.63</v>
      </c>
    </row>
    <row r="334" customFormat="false" ht="15" hidden="false" customHeight="false" outlineLevel="0" collapsed="false">
      <c r="A334" s="0" t="n">
        <v>2025</v>
      </c>
      <c r="B334" s="0" t="n">
        <v>9</v>
      </c>
      <c r="C334" s="0" t="s">
        <v>24</v>
      </c>
      <c r="D334" s="0" t="n">
        <v>0</v>
      </c>
      <c r="E334" s="0" t="n">
        <v>0</v>
      </c>
      <c r="H334" s="0" t="n">
        <v>0</v>
      </c>
      <c r="J334" s="0" t="n">
        <v>0</v>
      </c>
      <c r="K334" s="0" t="n">
        <v>0</v>
      </c>
    </row>
    <row r="335" customFormat="false" ht="15" hidden="false" customHeight="false" outlineLevel="0" collapsed="false">
      <c r="A335" s="0" t="n">
        <v>2025</v>
      </c>
      <c r="B335" s="0" t="n">
        <v>10</v>
      </c>
      <c r="C335" s="0" t="s">
        <v>24</v>
      </c>
      <c r="H335" s="0" t="n">
        <v>0</v>
      </c>
      <c r="J335" s="0" t="n">
        <v>0</v>
      </c>
      <c r="K335" s="0" t="n">
        <v>0</v>
      </c>
    </row>
    <row r="336" customFormat="false" ht="15" hidden="false" customHeight="false" outlineLevel="0" collapsed="false">
      <c r="A336" s="0" t="n">
        <v>2025</v>
      </c>
      <c r="B336" s="0" t="n">
        <v>11</v>
      </c>
      <c r="C336" s="0" t="s">
        <v>24</v>
      </c>
      <c r="H336" s="0" t="n">
        <v>0</v>
      </c>
      <c r="J336" s="0" t="n">
        <v>0</v>
      </c>
      <c r="K336" s="0" t="n">
        <v>0</v>
      </c>
    </row>
    <row r="337" customFormat="false" ht="15" hidden="false" customHeight="false" outlineLevel="0" collapsed="false">
      <c r="A337" s="0" t="n">
        <v>2025</v>
      </c>
      <c r="B337" s="0" t="n">
        <v>12</v>
      </c>
      <c r="C337" s="0" t="s">
        <v>24</v>
      </c>
      <c r="H337" s="0" t="n">
        <v>0</v>
      </c>
      <c r="J337" s="0" t="n">
        <v>0</v>
      </c>
      <c r="K337" s="0" t="n">
        <v>0</v>
      </c>
    </row>
    <row r="338" customFormat="false" ht="15" hidden="false" customHeight="false" outlineLevel="0" collapsed="false">
      <c r="A338" s="0" t="n">
        <v>2024</v>
      </c>
      <c r="B338" s="0" t="n">
        <v>1</v>
      </c>
      <c r="C338" s="0" t="s">
        <v>25</v>
      </c>
      <c r="D338" s="0" t="n">
        <v>55.1</v>
      </c>
      <c r="E338" s="0" t="n">
        <v>45289</v>
      </c>
      <c r="H338" s="0" t="n">
        <v>0.2557</v>
      </c>
      <c r="J338" s="0" t="n">
        <v>64934</v>
      </c>
      <c r="K338" s="0" t="n">
        <v>16601.39</v>
      </c>
    </row>
    <row r="339" customFormat="false" ht="15" hidden="false" customHeight="false" outlineLevel="0" collapsed="false">
      <c r="A339" s="0" t="n">
        <v>2024</v>
      </c>
      <c r="B339" s="0" t="n">
        <v>2</v>
      </c>
      <c r="C339" s="0" t="s">
        <v>25</v>
      </c>
      <c r="D339" s="0" t="n">
        <v>12.43</v>
      </c>
      <c r="E339" s="0" t="n">
        <v>10870</v>
      </c>
      <c r="H339" s="0" t="n">
        <v>0.2378</v>
      </c>
      <c r="J339" s="0" t="n">
        <v>71197</v>
      </c>
      <c r="K339" s="0" t="n">
        <v>16934</v>
      </c>
    </row>
    <row r="340" customFormat="false" ht="15" hidden="false" customHeight="false" outlineLevel="0" collapsed="false">
      <c r="A340" s="0" t="n">
        <v>2024</v>
      </c>
      <c r="B340" s="0" t="n">
        <v>3</v>
      </c>
      <c r="C340" s="0" t="s">
        <v>25</v>
      </c>
      <c r="D340" s="0" t="n">
        <v>52.89</v>
      </c>
      <c r="E340" s="0" t="n">
        <v>50936</v>
      </c>
      <c r="H340" s="0" t="n">
        <v>0.2428</v>
      </c>
      <c r="J340" s="0" t="n">
        <v>51152</v>
      </c>
      <c r="K340" s="0" t="n">
        <v>12419.74</v>
      </c>
    </row>
    <row r="341" customFormat="false" ht="15" hidden="false" customHeight="false" outlineLevel="0" collapsed="false">
      <c r="A341" s="0" t="n">
        <v>2024</v>
      </c>
      <c r="B341" s="0" t="n">
        <v>4</v>
      </c>
      <c r="C341" s="0" t="s">
        <v>25</v>
      </c>
      <c r="D341" s="0" t="n">
        <v>53.8</v>
      </c>
      <c r="E341" s="0" t="n">
        <v>62133</v>
      </c>
      <c r="H341" s="0" t="n">
        <v>0.2416</v>
      </c>
      <c r="J341" s="0" t="n">
        <v>45316</v>
      </c>
      <c r="K341" s="0" t="n">
        <v>10948.47</v>
      </c>
    </row>
    <row r="342" customFormat="false" ht="15" hidden="false" customHeight="false" outlineLevel="0" collapsed="false">
      <c r="A342" s="0" t="n">
        <v>2024</v>
      </c>
      <c r="B342" s="0" t="n">
        <v>5</v>
      </c>
      <c r="C342" s="0" t="s">
        <v>25</v>
      </c>
      <c r="D342" s="0" t="n">
        <v>71.44</v>
      </c>
      <c r="E342" s="0" t="n">
        <v>78378</v>
      </c>
      <c r="H342" s="0" t="n">
        <v>0.2507</v>
      </c>
      <c r="J342" s="0" t="n">
        <v>51330</v>
      </c>
      <c r="K342" s="0" t="n">
        <v>12868.58</v>
      </c>
    </row>
    <row r="343" customFormat="false" ht="15" hidden="false" customHeight="false" outlineLevel="0" collapsed="false">
      <c r="A343" s="0" t="n">
        <v>2024</v>
      </c>
      <c r="B343" s="0" t="n">
        <v>6</v>
      </c>
      <c r="C343" s="0" t="s">
        <v>25</v>
      </c>
      <c r="D343" s="0" t="n">
        <v>103.25</v>
      </c>
      <c r="E343" s="0" t="n">
        <v>134713</v>
      </c>
      <c r="H343" s="0" t="n">
        <v>0.2722</v>
      </c>
      <c r="J343" s="0" t="n">
        <v>42151</v>
      </c>
      <c r="K343" s="0" t="n">
        <v>11473.9</v>
      </c>
    </row>
    <row r="344" customFormat="false" ht="15" hidden="false" customHeight="false" outlineLevel="0" collapsed="false">
      <c r="A344" s="0" t="n">
        <v>2024</v>
      </c>
      <c r="B344" s="0" t="n">
        <v>7</v>
      </c>
      <c r="C344" s="0" t="s">
        <v>25</v>
      </c>
      <c r="D344" s="0" t="n">
        <v>127.09</v>
      </c>
      <c r="E344" s="0" t="n">
        <v>110641</v>
      </c>
      <c r="H344" s="0" t="n">
        <v>0.287</v>
      </c>
      <c r="J344" s="0" t="n">
        <v>67581</v>
      </c>
      <c r="K344" s="0" t="n">
        <v>19396.73</v>
      </c>
    </row>
    <row r="345" customFormat="false" ht="15" hidden="false" customHeight="false" outlineLevel="0" collapsed="false">
      <c r="A345" s="0" t="n">
        <v>2024</v>
      </c>
      <c r="B345" s="0" t="n">
        <v>8</v>
      </c>
      <c r="C345" s="0" t="s">
        <v>25</v>
      </c>
      <c r="D345" s="0" t="n">
        <v>33.31</v>
      </c>
      <c r="E345" s="0" t="n">
        <v>42210</v>
      </c>
      <c r="H345" s="0" t="n">
        <v>0.3047</v>
      </c>
      <c r="J345" s="0" t="n">
        <v>44796</v>
      </c>
      <c r="K345" s="0" t="n">
        <v>13651.04</v>
      </c>
    </row>
    <row r="346" customFormat="false" ht="15" hidden="false" customHeight="false" outlineLevel="0" collapsed="false">
      <c r="A346" s="0" t="n">
        <v>2024</v>
      </c>
      <c r="B346" s="0" t="n">
        <v>9</v>
      </c>
      <c r="C346" s="0" t="s">
        <v>25</v>
      </c>
      <c r="D346" s="0" t="n">
        <v>71.43</v>
      </c>
      <c r="E346" s="0" t="n">
        <v>74797</v>
      </c>
      <c r="H346" s="0" t="n">
        <v>0.2904</v>
      </c>
      <c r="J346" s="0" t="n">
        <v>52599</v>
      </c>
      <c r="K346" s="0" t="n">
        <v>15277.15</v>
      </c>
    </row>
    <row r="347" customFormat="false" ht="15" hidden="false" customHeight="false" outlineLevel="0" collapsed="false">
      <c r="A347" s="0" t="n">
        <v>2024</v>
      </c>
      <c r="B347" s="0" t="n">
        <v>10</v>
      </c>
      <c r="C347" s="0" t="s">
        <v>25</v>
      </c>
      <c r="D347" s="0" t="n">
        <v>128.34</v>
      </c>
      <c r="E347" s="0" t="n">
        <v>146262</v>
      </c>
      <c r="H347" s="0" t="n">
        <v>0.2856</v>
      </c>
      <c r="J347" s="0" t="n">
        <v>54362</v>
      </c>
      <c r="K347" s="0" t="n">
        <v>15523.99</v>
      </c>
    </row>
    <row r="348" customFormat="false" ht="15" hidden="false" customHeight="false" outlineLevel="0" collapsed="false">
      <c r="A348" s="0" t="n">
        <v>2024</v>
      </c>
      <c r="B348" s="0" t="n">
        <v>11</v>
      </c>
      <c r="C348" s="0" t="s">
        <v>25</v>
      </c>
      <c r="D348" s="0" t="n">
        <v>112.6</v>
      </c>
      <c r="E348" s="0" t="n">
        <v>151631</v>
      </c>
      <c r="F348" s="0" t="n">
        <v>1682.52</v>
      </c>
      <c r="H348" s="0" t="n">
        <v>0.307</v>
      </c>
      <c r="I348" s="0" t="n">
        <v>516.53364</v>
      </c>
      <c r="J348" s="0" t="n">
        <v>64157</v>
      </c>
      <c r="K348" s="0" t="n">
        <v>19751.41</v>
      </c>
    </row>
    <row r="349" customFormat="false" ht="15" hidden="false" customHeight="false" outlineLevel="0" collapsed="false">
      <c r="A349" s="0" t="n">
        <v>2024</v>
      </c>
      <c r="B349" s="0" t="n">
        <v>12</v>
      </c>
      <c r="C349" s="0" t="s">
        <v>25</v>
      </c>
      <c r="D349" s="0" t="n">
        <v>48.2</v>
      </c>
      <c r="E349" s="0" t="n">
        <v>62172</v>
      </c>
      <c r="F349" s="0" t="n">
        <v>889.24</v>
      </c>
      <c r="H349" s="0" t="n">
        <v>0.331</v>
      </c>
      <c r="I349" s="0" t="n">
        <v>294.33844</v>
      </c>
      <c r="J349" s="0" t="n">
        <v>51593</v>
      </c>
      <c r="K349" s="0" t="n">
        <v>17063.94</v>
      </c>
    </row>
    <row r="350" customFormat="false" ht="15" hidden="false" customHeight="false" outlineLevel="0" collapsed="false">
      <c r="A350" s="0" t="n">
        <v>2025</v>
      </c>
      <c r="B350" s="0" t="n">
        <v>1</v>
      </c>
      <c r="C350" s="0" t="s">
        <v>25</v>
      </c>
      <c r="D350" s="0" t="n">
        <v>92.6</v>
      </c>
      <c r="E350" s="0" t="n">
        <v>122346</v>
      </c>
      <c r="F350" s="0" t="n">
        <v>917.49</v>
      </c>
      <c r="H350" s="0" t="n">
        <v>0.335</v>
      </c>
      <c r="I350" s="0" t="n">
        <v>307.35915</v>
      </c>
      <c r="J350" s="0" t="n">
        <v>61904</v>
      </c>
      <c r="K350" s="0" t="n">
        <v>20875.39</v>
      </c>
    </row>
    <row r="351" customFormat="false" ht="15" hidden="false" customHeight="false" outlineLevel="0" collapsed="false">
      <c r="A351" s="0" t="n">
        <v>2025</v>
      </c>
      <c r="B351" s="0" t="n">
        <v>2</v>
      </c>
      <c r="C351" s="0" t="s">
        <v>25</v>
      </c>
      <c r="D351" s="0" t="n">
        <v>67.7</v>
      </c>
      <c r="E351" s="0" t="n">
        <v>80711</v>
      </c>
      <c r="F351" s="0" t="n">
        <v>810.1</v>
      </c>
      <c r="H351" s="0" t="n">
        <v>0.334</v>
      </c>
      <c r="I351" s="0" t="n">
        <v>270.5734</v>
      </c>
      <c r="J351" s="0" t="n">
        <v>60366</v>
      </c>
      <c r="K351" s="0" t="n">
        <v>20173.7</v>
      </c>
    </row>
    <row r="352" customFormat="false" ht="15" hidden="false" customHeight="false" outlineLevel="0" collapsed="false">
      <c r="A352" s="0" t="n">
        <v>2025</v>
      </c>
      <c r="B352" s="0" t="n">
        <v>3</v>
      </c>
      <c r="C352" s="0" t="s">
        <v>25</v>
      </c>
      <c r="D352" s="0" t="n">
        <v>83.2</v>
      </c>
      <c r="E352" s="0" t="n">
        <v>99845</v>
      </c>
      <c r="F352" s="0" t="n">
        <v>1276.28</v>
      </c>
      <c r="H352" s="0" t="n">
        <v>0.286</v>
      </c>
      <c r="I352" s="0" t="n">
        <v>365.01608</v>
      </c>
      <c r="J352" s="0" t="n">
        <v>58209</v>
      </c>
      <c r="K352" s="0" t="n">
        <v>16648.58</v>
      </c>
    </row>
    <row r="353" customFormat="false" ht="15" hidden="false" customHeight="false" outlineLevel="0" collapsed="false">
      <c r="A353" s="0" t="n">
        <v>2025</v>
      </c>
      <c r="B353" s="0" t="n">
        <v>4</v>
      </c>
      <c r="C353" s="0" t="s">
        <v>25</v>
      </c>
      <c r="D353" s="0" t="n">
        <v>135.5</v>
      </c>
      <c r="E353" s="0" t="n">
        <v>72022</v>
      </c>
      <c r="F353" s="0" t="n">
        <v>1183.17</v>
      </c>
      <c r="H353" s="0" t="n">
        <v>0.2655</v>
      </c>
      <c r="I353" s="0" t="n">
        <v>314.131635</v>
      </c>
      <c r="J353" s="0" t="n">
        <v>41269</v>
      </c>
      <c r="K353" s="0" t="n">
        <v>10956.7</v>
      </c>
    </row>
    <row r="354" customFormat="false" ht="15" hidden="false" customHeight="false" outlineLevel="0" collapsed="false">
      <c r="A354" s="0" t="n">
        <v>2025</v>
      </c>
      <c r="B354" s="0" t="n">
        <v>5</v>
      </c>
      <c r="C354" s="0" t="s">
        <v>25</v>
      </c>
      <c r="D354" s="0" t="n">
        <v>38.5</v>
      </c>
      <c r="E354" s="0" t="n">
        <v>41672</v>
      </c>
      <c r="F354" s="0" t="n">
        <v>668.700000000001</v>
      </c>
      <c r="H354" s="0" t="n">
        <v>0.2575</v>
      </c>
      <c r="I354" s="0" t="n">
        <v>172.19025</v>
      </c>
      <c r="J354" s="0" t="n">
        <v>30809</v>
      </c>
      <c r="K354" s="0" t="n">
        <v>7932.95</v>
      </c>
    </row>
    <row r="355" customFormat="false" ht="15" hidden="false" customHeight="false" outlineLevel="0" collapsed="false">
      <c r="A355" s="0" t="n">
        <v>2025</v>
      </c>
      <c r="B355" s="0" t="n">
        <v>6</v>
      </c>
      <c r="C355" s="0" t="s">
        <v>25</v>
      </c>
      <c r="D355" s="0" t="n">
        <v>45.6</v>
      </c>
      <c r="E355" s="0" t="n">
        <v>48181</v>
      </c>
      <c r="F355" s="0" t="n">
        <v>938.469999999999</v>
      </c>
      <c r="H355" s="0" t="n">
        <v>0.355</v>
      </c>
      <c r="I355" s="0" t="n">
        <v>333.15685</v>
      </c>
      <c r="J355" s="0" t="n">
        <v>33644</v>
      </c>
      <c r="K355" s="0" t="n">
        <v>11949.42</v>
      </c>
    </row>
    <row r="356" customFormat="false" ht="15" hidden="false" customHeight="false" outlineLevel="0" collapsed="false">
      <c r="A356" s="0" t="n">
        <v>2025</v>
      </c>
      <c r="B356" s="0" t="n">
        <v>7</v>
      </c>
      <c r="C356" s="0" t="s">
        <v>25</v>
      </c>
      <c r="D356" s="0" t="n">
        <v>50.6</v>
      </c>
      <c r="E356" s="0" t="n">
        <v>53004</v>
      </c>
      <c r="F356" s="0" t="n">
        <v>906.320000000002</v>
      </c>
      <c r="H356" s="0" t="n">
        <v>0.296</v>
      </c>
      <c r="I356" s="0" t="n">
        <v>268.27072</v>
      </c>
      <c r="J356" s="0" t="n">
        <v>51483</v>
      </c>
      <c r="K356" s="0" t="n">
        <v>15262.33</v>
      </c>
    </row>
    <row r="357" customFormat="false" ht="15" hidden="false" customHeight="false" outlineLevel="0" collapsed="false">
      <c r="A357" s="0" t="n">
        <v>2025</v>
      </c>
      <c r="B357" s="0" t="n">
        <v>8</v>
      </c>
      <c r="C357" s="0" t="s">
        <v>25</v>
      </c>
      <c r="D357" s="0" t="n">
        <v>14.56</v>
      </c>
      <c r="E357" s="0" t="n">
        <v>16100</v>
      </c>
      <c r="F357" s="0" t="n">
        <v>224.48</v>
      </c>
      <c r="H357" s="0" t="n">
        <v>0.3268</v>
      </c>
      <c r="J357" s="0" t="n">
        <v>17650</v>
      </c>
      <c r="K357" s="0" t="n">
        <v>5768.63</v>
      </c>
    </row>
    <row r="358" customFormat="false" ht="15" hidden="false" customHeight="false" outlineLevel="0" collapsed="false">
      <c r="A358" s="0" t="n">
        <v>2025</v>
      </c>
      <c r="B358" s="0" t="n">
        <v>9</v>
      </c>
      <c r="C358" s="0" t="s">
        <v>25</v>
      </c>
      <c r="D358" s="0" t="n">
        <v>37.98</v>
      </c>
      <c r="E358" s="0" t="n">
        <v>39691</v>
      </c>
      <c r="F358" s="0" t="n">
        <v>676.06</v>
      </c>
      <c r="H358" s="0" t="n">
        <v>0</v>
      </c>
      <c r="J358" s="0" t="n">
        <v>0</v>
      </c>
      <c r="K358" s="0" t="n">
        <v>0</v>
      </c>
    </row>
    <row r="359" customFormat="false" ht="15" hidden="false" customHeight="false" outlineLevel="0" collapsed="false">
      <c r="A359" s="0" t="n">
        <v>2025</v>
      </c>
      <c r="B359" s="0" t="n">
        <v>10</v>
      </c>
      <c r="C359" s="0" t="s">
        <v>25</v>
      </c>
      <c r="H359" s="0" t="n">
        <v>0</v>
      </c>
      <c r="J359" s="0" t="n">
        <v>0</v>
      </c>
      <c r="K359" s="0" t="n">
        <v>0</v>
      </c>
    </row>
    <row r="360" customFormat="false" ht="15" hidden="false" customHeight="false" outlineLevel="0" collapsed="false">
      <c r="A360" s="0" t="n">
        <v>2025</v>
      </c>
      <c r="B360" s="0" t="n">
        <v>11</v>
      </c>
      <c r="C360" s="0" t="s">
        <v>25</v>
      </c>
      <c r="H360" s="0" t="n">
        <v>0</v>
      </c>
      <c r="J360" s="0" t="n">
        <v>0</v>
      </c>
      <c r="K360" s="0" t="n">
        <v>0</v>
      </c>
    </row>
    <row r="361" customFormat="false" ht="15" hidden="false" customHeight="false" outlineLevel="0" collapsed="false">
      <c r="A361" s="0" t="n">
        <v>2025</v>
      </c>
      <c r="B361" s="0" t="n">
        <v>12</v>
      </c>
      <c r="C361" s="0" t="s">
        <v>25</v>
      </c>
      <c r="H361" s="0" t="n">
        <v>0</v>
      </c>
      <c r="J361" s="0" t="n">
        <v>0</v>
      </c>
      <c r="K361" s="0" t="n">
        <v>0</v>
      </c>
    </row>
    <row r="362" customFormat="false" ht="15" hidden="false" customHeight="false" outlineLevel="0" collapsed="false">
      <c r="A362" s="0" t="n">
        <v>2024</v>
      </c>
      <c r="B362" s="0" t="n">
        <v>1</v>
      </c>
      <c r="C362" s="0" t="s">
        <v>26</v>
      </c>
      <c r="D362" s="0" t="n">
        <v>0</v>
      </c>
      <c r="E362" s="0" t="n">
        <v>744</v>
      </c>
      <c r="H362" s="0" t="n">
        <v>0.2557</v>
      </c>
      <c r="J362" s="0" t="n">
        <v>64934</v>
      </c>
      <c r="K362" s="0" t="n">
        <v>16601.39</v>
      </c>
    </row>
    <row r="363" customFormat="false" ht="15" hidden="false" customHeight="false" outlineLevel="0" collapsed="false">
      <c r="A363" s="0" t="n">
        <v>2024</v>
      </c>
      <c r="B363" s="0" t="n">
        <v>2</v>
      </c>
      <c r="C363" s="0" t="s">
        <v>26</v>
      </c>
      <c r="D363" s="0" t="n">
        <v>0</v>
      </c>
      <c r="E363" s="0" t="n">
        <v>376</v>
      </c>
      <c r="H363" s="0" t="n">
        <v>0.2378</v>
      </c>
      <c r="J363" s="0" t="n">
        <v>71197</v>
      </c>
      <c r="K363" s="0" t="n">
        <v>16934</v>
      </c>
    </row>
    <row r="364" customFormat="false" ht="15" hidden="false" customHeight="false" outlineLevel="0" collapsed="false">
      <c r="A364" s="0" t="n">
        <v>2024</v>
      </c>
      <c r="B364" s="0" t="n">
        <v>3</v>
      </c>
      <c r="C364" s="0" t="s">
        <v>26</v>
      </c>
      <c r="D364" s="0" t="n">
        <v>0</v>
      </c>
      <c r="E364" s="0" t="n">
        <v>0</v>
      </c>
      <c r="H364" s="0" t="n">
        <v>0.2428</v>
      </c>
      <c r="J364" s="0" t="n">
        <v>51152</v>
      </c>
      <c r="K364" s="0" t="n">
        <v>12419.74</v>
      </c>
    </row>
    <row r="365" customFormat="false" ht="15" hidden="false" customHeight="false" outlineLevel="0" collapsed="false">
      <c r="A365" s="0" t="n">
        <v>2024</v>
      </c>
      <c r="B365" s="0" t="n">
        <v>4</v>
      </c>
      <c r="C365" s="0" t="s">
        <v>26</v>
      </c>
      <c r="D365" s="0" t="n">
        <v>0</v>
      </c>
      <c r="E365" s="0" t="n">
        <v>0</v>
      </c>
      <c r="H365" s="0" t="n">
        <v>0.2416</v>
      </c>
      <c r="J365" s="0" t="n">
        <v>45316</v>
      </c>
      <c r="K365" s="0" t="n">
        <v>10948.47</v>
      </c>
    </row>
    <row r="366" customFormat="false" ht="15" hidden="false" customHeight="false" outlineLevel="0" collapsed="false">
      <c r="A366" s="0" t="n">
        <v>2024</v>
      </c>
      <c r="B366" s="0" t="n">
        <v>5</v>
      </c>
      <c r="C366" s="0" t="s">
        <v>26</v>
      </c>
      <c r="D366" s="0" t="n">
        <v>0</v>
      </c>
      <c r="E366" s="0" t="n">
        <v>576</v>
      </c>
      <c r="H366" s="0" t="n">
        <v>0.2507</v>
      </c>
      <c r="J366" s="0" t="n">
        <v>51330</v>
      </c>
      <c r="K366" s="0" t="n">
        <v>12868.58</v>
      </c>
    </row>
    <row r="367" customFormat="false" ht="15" hidden="false" customHeight="false" outlineLevel="0" collapsed="false">
      <c r="A367" s="0" t="n">
        <v>2024</v>
      </c>
      <c r="B367" s="0" t="n">
        <v>6</v>
      </c>
      <c r="C367" s="0" t="s">
        <v>26</v>
      </c>
      <c r="D367" s="0" t="n">
        <v>0</v>
      </c>
      <c r="E367" s="0" t="n">
        <v>250</v>
      </c>
      <c r="H367" s="0" t="n">
        <v>0.2722</v>
      </c>
      <c r="J367" s="0" t="n">
        <v>42151</v>
      </c>
      <c r="K367" s="0" t="n">
        <v>11473.9</v>
      </c>
    </row>
    <row r="368" customFormat="false" ht="15" hidden="false" customHeight="false" outlineLevel="0" collapsed="false">
      <c r="A368" s="0" t="n">
        <v>2024</v>
      </c>
      <c r="B368" s="0" t="n">
        <v>7</v>
      </c>
      <c r="C368" s="0" t="s">
        <v>26</v>
      </c>
      <c r="D368" s="0" t="n">
        <v>0</v>
      </c>
      <c r="E368" s="0" t="n">
        <v>15453</v>
      </c>
      <c r="H368" s="0" t="n">
        <v>0.287</v>
      </c>
      <c r="J368" s="0" t="n">
        <v>67581</v>
      </c>
      <c r="K368" s="0" t="n">
        <v>19396.73</v>
      </c>
    </row>
    <row r="369" customFormat="false" ht="15" hidden="false" customHeight="false" outlineLevel="0" collapsed="false">
      <c r="A369" s="0" t="n">
        <v>2024</v>
      </c>
      <c r="B369" s="0" t="n">
        <v>8</v>
      </c>
      <c r="C369" s="0" t="s">
        <v>26</v>
      </c>
      <c r="D369" s="0" t="n">
        <v>0</v>
      </c>
      <c r="E369" s="0" t="n">
        <v>0</v>
      </c>
      <c r="H369" s="0" t="n">
        <v>0.3047</v>
      </c>
      <c r="J369" s="0" t="n">
        <v>44796</v>
      </c>
      <c r="K369" s="0" t="n">
        <v>13651.04</v>
      </c>
    </row>
    <row r="370" customFormat="false" ht="15" hidden="false" customHeight="false" outlineLevel="0" collapsed="false">
      <c r="A370" s="0" t="n">
        <v>2024</v>
      </c>
      <c r="B370" s="0" t="n">
        <v>9</v>
      </c>
      <c r="C370" s="0" t="s">
        <v>26</v>
      </c>
      <c r="D370" s="0" t="n">
        <v>0</v>
      </c>
      <c r="E370" s="0" t="n">
        <v>1834</v>
      </c>
      <c r="H370" s="0" t="n">
        <v>0.2904</v>
      </c>
      <c r="J370" s="0" t="n">
        <v>52599</v>
      </c>
      <c r="K370" s="0" t="n">
        <v>15277.15</v>
      </c>
    </row>
    <row r="371" customFormat="false" ht="15" hidden="false" customHeight="false" outlineLevel="0" collapsed="false">
      <c r="A371" s="0" t="n">
        <v>2024</v>
      </c>
      <c r="B371" s="0" t="n">
        <v>10</v>
      </c>
      <c r="C371" s="0" t="s">
        <v>26</v>
      </c>
      <c r="D371" s="0" t="n">
        <v>0</v>
      </c>
      <c r="E371" s="0" t="n">
        <v>4112</v>
      </c>
      <c r="H371" s="0" t="n">
        <v>0.2856</v>
      </c>
      <c r="J371" s="0" t="n">
        <v>54362</v>
      </c>
      <c r="K371" s="0" t="n">
        <v>15523.99</v>
      </c>
    </row>
    <row r="372" customFormat="false" ht="15" hidden="false" customHeight="false" outlineLevel="0" collapsed="false">
      <c r="A372" s="0" t="n">
        <v>2024</v>
      </c>
      <c r="B372" s="0" t="n">
        <v>11</v>
      </c>
      <c r="C372" s="0" t="s">
        <v>26</v>
      </c>
      <c r="D372" s="0" t="n">
        <v>0</v>
      </c>
      <c r="E372" s="0" t="n">
        <v>4350</v>
      </c>
      <c r="H372" s="0" t="n">
        <v>0.307</v>
      </c>
      <c r="I372" s="0" t="n">
        <v>0</v>
      </c>
      <c r="J372" s="0" t="n">
        <v>64157</v>
      </c>
      <c r="K372" s="0" t="n">
        <v>19751.41</v>
      </c>
    </row>
    <row r="373" customFormat="false" ht="15" hidden="false" customHeight="false" outlineLevel="0" collapsed="false">
      <c r="A373" s="0" t="n">
        <v>2024</v>
      </c>
      <c r="B373" s="0" t="n">
        <v>12</v>
      </c>
      <c r="C373" s="0" t="s">
        <v>26</v>
      </c>
      <c r="D373" s="0" t="n">
        <v>0</v>
      </c>
      <c r="E373" s="0" t="n">
        <v>31394</v>
      </c>
      <c r="H373" s="0" t="n">
        <v>0.331</v>
      </c>
      <c r="I373" s="0" t="n">
        <v>0</v>
      </c>
      <c r="J373" s="0" t="n">
        <v>51593</v>
      </c>
      <c r="K373" s="0" t="n">
        <v>17063.94</v>
      </c>
    </row>
    <row r="374" customFormat="false" ht="15" hidden="false" customHeight="false" outlineLevel="0" collapsed="false">
      <c r="A374" s="0" t="n">
        <v>2025</v>
      </c>
      <c r="B374" s="0" t="n">
        <v>1</v>
      </c>
      <c r="C374" s="0" t="s">
        <v>26</v>
      </c>
      <c r="H374" s="0" t="n">
        <v>0.335</v>
      </c>
      <c r="I374" s="0" t="n">
        <v>0</v>
      </c>
      <c r="J374" s="0" t="n">
        <v>61904</v>
      </c>
      <c r="K374" s="0" t="n">
        <v>20875.39</v>
      </c>
    </row>
    <row r="375" customFormat="false" ht="15" hidden="false" customHeight="false" outlineLevel="0" collapsed="false">
      <c r="A375" s="0" t="n">
        <v>2025</v>
      </c>
      <c r="B375" s="0" t="n">
        <v>2</v>
      </c>
      <c r="C375" s="0" t="s">
        <v>26</v>
      </c>
      <c r="H375" s="0" t="n">
        <v>0.334</v>
      </c>
      <c r="I375" s="0" t="n">
        <v>0</v>
      </c>
      <c r="J375" s="0" t="n">
        <v>60366</v>
      </c>
      <c r="K375" s="0" t="n">
        <v>20173.7</v>
      </c>
    </row>
    <row r="376" customFormat="false" ht="15" hidden="false" customHeight="false" outlineLevel="0" collapsed="false">
      <c r="A376" s="0" t="n">
        <v>2025</v>
      </c>
      <c r="B376" s="0" t="n">
        <v>3</v>
      </c>
      <c r="C376" s="0" t="s">
        <v>26</v>
      </c>
      <c r="H376" s="0" t="n">
        <v>0.286</v>
      </c>
      <c r="I376" s="0" t="n">
        <v>0</v>
      </c>
      <c r="J376" s="0" t="n">
        <v>58209</v>
      </c>
      <c r="K376" s="0" t="n">
        <v>16648.58</v>
      </c>
    </row>
    <row r="377" customFormat="false" ht="15" hidden="false" customHeight="false" outlineLevel="0" collapsed="false">
      <c r="A377" s="0" t="n">
        <v>2025</v>
      </c>
      <c r="B377" s="0" t="n">
        <v>4</v>
      </c>
      <c r="C377" s="0" t="s">
        <v>26</v>
      </c>
      <c r="H377" s="0" t="n">
        <v>0.2655</v>
      </c>
      <c r="I377" s="0" t="n">
        <v>0</v>
      </c>
      <c r="J377" s="0" t="n">
        <v>41269</v>
      </c>
      <c r="K377" s="0" t="n">
        <v>10956.7</v>
      </c>
    </row>
    <row r="378" customFormat="false" ht="15" hidden="false" customHeight="false" outlineLevel="0" collapsed="false">
      <c r="A378" s="0" t="n">
        <v>2025</v>
      </c>
      <c r="B378" s="0" t="n">
        <v>5</v>
      </c>
      <c r="C378" s="0" t="s">
        <v>26</v>
      </c>
      <c r="H378" s="0" t="n">
        <v>0.2575</v>
      </c>
      <c r="I378" s="0" t="n">
        <v>0</v>
      </c>
      <c r="J378" s="0" t="n">
        <v>30809</v>
      </c>
      <c r="K378" s="0" t="n">
        <v>7932.95</v>
      </c>
    </row>
    <row r="379" customFormat="false" ht="15" hidden="false" customHeight="false" outlineLevel="0" collapsed="false">
      <c r="A379" s="0" t="n">
        <v>2025</v>
      </c>
      <c r="B379" s="0" t="n">
        <v>6</v>
      </c>
      <c r="C379" s="0" t="s">
        <v>26</v>
      </c>
      <c r="H379" s="0" t="n">
        <v>0.355</v>
      </c>
      <c r="I379" s="0" t="n">
        <v>0</v>
      </c>
      <c r="J379" s="0" t="n">
        <v>33644</v>
      </c>
      <c r="K379" s="0" t="n">
        <v>11949.42</v>
      </c>
    </row>
    <row r="380" customFormat="false" ht="15" hidden="false" customHeight="false" outlineLevel="0" collapsed="false">
      <c r="A380" s="0" t="n">
        <v>2025</v>
      </c>
      <c r="B380" s="0" t="n">
        <v>7</v>
      </c>
      <c r="C380" s="0" t="s">
        <v>26</v>
      </c>
      <c r="H380" s="0" t="n">
        <v>0.296</v>
      </c>
      <c r="I380" s="0" t="n">
        <v>0</v>
      </c>
      <c r="J380" s="0" t="n">
        <v>51483</v>
      </c>
      <c r="K380" s="0" t="n">
        <v>15262.33</v>
      </c>
    </row>
    <row r="381" customFormat="false" ht="15" hidden="false" customHeight="false" outlineLevel="0" collapsed="false">
      <c r="A381" s="0" t="n">
        <v>2025</v>
      </c>
      <c r="B381" s="0" t="n">
        <v>8</v>
      </c>
      <c r="C381" s="0" t="s">
        <v>26</v>
      </c>
      <c r="D381" s="0" t="n">
        <v>0</v>
      </c>
      <c r="E381" s="0" t="n">
        <v>11284</v>
      </c>
      <c r="H381" s="0" t="n">
        <v>0.3268</v>
      </c>
      <c r="J381" s="0" t="n">
        <v>17650</v>
      </c>
      <c r="K381" s="0" t="n">
        <v>5768.63</v>
      </c>
    </row>
    <row r="382" customFormat="false" ht="15" hidden="false" customHeight="false" outlineLevel="0" collapsed="false">
      <c r="A382" s="0" t="n">
        <v>2025</v>
      </c>
      <c r="B382" s="0" t="n">
        <v>9</v>
      </c>
      <c r="C382" s="0" t="s">
        <v>26</v>
      </c>
      <c r="D382" s="0" t="n">
        <v>0</v>
      </c>
      <c r="E382" s="0" t="n">
        <v>22523</v>
      </c>
      <c r="H382" s="0" t="n">
        <v>0</v>
      </c>
      <c r="J382" s="0" t="n">
        <v>0</v>
      </c>
      <c r="K382" s="0" t="n">
        <v>0</v>
      </c>
    </row>
    <row r="383" customFormat="false" ht="15" hidden="false" customHeight="false" outlineLevel="0" collapsed="false">
      <c r="A383" s="0" t="n">
        <v>2025</v>
      </c>
      <c r="B383" s="0" t="n">
        <v>10</v>
      </c>
      <c r="C383" s="0" t="s">
        <v>26</v>
      </c>
      <c r="H383" s="0" t="n">
        <v>0</v>
      </c>
      <c r="J383" s="0" t="n">
        <v>0</v>
      </c>
      <c r="K383" s="0" t="n">
        <v>0</v>
      </c>
    </row>
    <row r="384" customFormat="false" ht="15" hidden="false" customHeight="false" outlineLevel="0" collapsed="false">
      <c r="A384" s="0" t="n">
        <v>2025</v>
      </c>
      <c r="B384" s="0" t="n">
        <v>11</v>
      </c>
      <c r="C384" s="0" t="s">
        <v>26</v>
      </c>
      <c r="H384" s="0" t="n">
        <v>0</v>
      </c>
      <c r="J384" s="0" t="n">
        <v>0</v>
      </c>
      <c r="K384" s="0" t="n">
        <v>0</v>
      </c>
    </row>
    <row r="385" customFormat="false" ht="15" hidden="false" customHeight="false" outlineLevel="0" collapsed="false">
      <c r="A385" s="0" t="n">
        <v>2025</v>
      </c>
      <c r="B385" s="0" t="n">
        <v>12</v>
      </c>
      <c r="C385" s="0" t="s">
        <v>26</v>
      </c>
      <c r="H385" s="0" t="n">
        <v>0</v>
      </c>
      <c r="J385" s="0" t="n">
        <v>0</v>
      </c>
      <c r="K385" s="0" t="n">
        <v>0</v>
      </c>
    </row>
    <row r="386" customFormat="false" ht="15" hidden="false" customHeight="false" outlineLevel="0" collapsed="false">
      <c r="A386" s="0" t="n">
        <v>2024</v>
      </c>
      <c r="B386" s="0" t="n">
        <v>1</v>
      </c>
      <c r="C386" s="0" t="s">
        <v>27</v>
      </c>
      <c r="D386" s="0" t="n">
        <v>44.22</v>
      </c>
      <c r="E386" s="0" t="n">
        <v>15977</v>
      </c>
      <c r="H386" s="0" t="n">
        <v>0.2557</v>
      </c>
      <c r="J386" s="0" t="n">
        <v>64934</v>
      </c>
      <c r="K386" s="0" t="n">
        <v>16601.39</v>
      </c>
    </row>
    <row r="387" customFormat="false" ht="15" hidden="false" customHeight="false" outlineLevel="0" collapsed="false">
      <c r="A387" s="0" t="n">
        <v>2024</v>
      </c>
      <c r="B387" s="0" t="n">
        <v>2</v>
      </c>
      <c r="C387" s="0" t="s">
        <v>27</v>
      </c>
      <c r="D387" s="0" t="n">
        <v>237.45</v>
      </c>
      <c r="E387" s="0" t="n">
        <v>80655</v>
      </c>
      <c r="H387" s="0" t="n">
        <v>0.2378</v>
      </c>
      <c r="J387" s="0" t="n">
        <v>71197</v>
      </c>
      <c r="K387" s="0" t="n">
        <v>16934</v>
      </c>
    </row>
    <row r="388" customFormat="false" ht="15" hidden="false" customHeight="false" outlineLevel="0" collapsed="false">
      <c r="A388" s="0" t="n">
        <v>2024</v>
      </c>
      <c r="B388" s="0" t="n">
        <v>3</v>
      </c>
      <c r="C388" s="0" t="s">
        <v>27</v>
      </c>
      <c r="D388" s="0" t="n">
        <v>230.27</v>
      </c>
      <c r="E388" s="0" t="n">
        <v>84827</v>
      </c>
      <c r="H388" s="0" t="n">
        <v>0.2428</v>
      </c>
      <c r="J388" s="0" t="n">
        <v>51152</v>
      </c>
      <c r="K388" s="0" t="n">
        <v>12419.74</v>
      </c>
    </row>
    <row r="389" customFormat="false" ht="15" hidden="false" customHeight="false" outlineLevel="0" collapsed="false">
      <c r="A389" s="0" t="n">
        <v>2024</v>
      </c>
      <c r="B389" s="0" t="n">
        <v>4</v>
      </c>
      <c r="C389" s="0" t="s">
        <v>27</v>
      </c>
      <c r="D389" s="0" t="n">
        <v>190.51</v>
      </c>
      <c r="E389" s="0" t="n">
        <v>47809</v>
      </c>
      <c r="H389" s="0" t="n">
        <v>0.2416</v>
      </c>
      <c r="J389" s="0" t="n">
        <v>45316</v>
      </c>
      <c r="K389" s="0" t="n">
        <v>10948.47</v>
      </c>
    </row>
    <row r="390" customFormat="false" ht="15" hidden="false" customHeight="false" outlineLevel="0" collapsed="false">
      <c r="A390" s="0" t="n">
        <v>2024</v>
      </c>
      <c r="B390" s="0" t="n">
        <v>5</v>
      </c>
      <c r="C390" s="0" t="s">
        <v>27</v>
      </c>
      <c r="D390" s="0" t="n">
        <v>100.88</v>
      </c>
      <c r="E390" s="0" t="n">
        <v>37786</v>
      </c>
      <c r="H390" s="0" t="n">
        <v>0.2507</v>
      </c>
      <c r="J390" s="0" t="n">
        <v>51330</v>
      </c>
      <c r="K390" s="0" t="n">
        <v>12868.58</v>
      </c>
    </row>
    <row r="391" customFormat="false" ht="15" hidden="false" customHeight="false" outlineLevel="0" collapsed="false">
      <c r="A391" s="0" t="n">
        <v>2024</v>
      </c>
      <c r="B391" s="0" t="n">
        <v>6</v>
      </c>
      <c r="C391" s="0" t="s">
        <v>27</v>
      </c>
      <c r="D391" s="0" t="n">
        <v>76.43</v>
      </c>
      <c r="E391" s="0" t="n">
        <v>29749</v>
      </c>
      <c r="H391" s="0" t="n">
        <v>0.2722</v>
      </c>
      <c r="J391" s="0" t="n">
        <v>42151</v>
      </c>
      <c r="K391" s="0" t="n">
        <v>11473.9</v>
      </c>
    </row>
    <row r="392" customFormat="false" ht="15" hidden="false" customHeight="false" outlineLevel="0" collapsed="false">
      <c r="A392" s="0" t="n">
        <v>2024</v>
      </c>
      <c r="B392" s="0" t="n">
        <v>7</v>
      </c>
      <c r="C392" s="0" t="s">
        <v>27</v>
      </c>
      <c r="D392" s="0" t="n">
        <v>4.85</v>
      </c>
      <c r="E392" s="0" t="n">
        <v>1657</v>
      </c>
      <c r="H392" s="0" t="n">
        <v>0.287</v>
      </c>
      <c r="J392" s="0" t="n">
        <v>67581</v>
      </c>
      <c r="K392" s="0" t="n">
        <v>19396.73</v>
      </c>
    </row>
    <row r="393" customFormat="false" ht="15" hidden="false" customHeight="false" outlineLevel="0" collapsed="false">
      <c r="A393" s="0" t="n">
        <v>2024</v>
      </c>
      <c r="B393" s="0" t="n">
        <v>8</v>
      </c>
      <c r="C393" s="0" t="s">
        <v>27</v>
      </c>
      <c r="D393" s="0" t="n">
        <v>43.96</v>
      </c>
      <c r="E393" s="0" t="n">
        <v>15795</v>
      </c>
      <c r="H393" s="0" t="n">
        <v>0.3047</v>
      </c>
      <c r="J393" s="0" t="n">
        <v>44796</v>
      </c>
      <c r="K393" s="0" t="n">
        <v>13651.04</v>
      </c>
    </row>
    <row r="394" customFormat="false" ht="15" hidden="false" customHeight="false" outlineLevel="0" collapsed="false">
      <c r="A394" s="0" t="n">
        <v>2024</v>
      </c>
      <c r="B394" s="0" t="n">
        <v>9</v>
      </c>
      <c r="C394" s="0" t="s">
        <v>27</v>
      </c>
      <c r="D394" s="0" t="n">
        <v>193.27</v>
      </c>
      <c r="E394" s="0" t="n">
        <v>93880</v>
      </c>
      <c r="H394" s="0" t="n">
        <v>0.2904</v>
      </c>
      <c r="J394" s="0" t="n">
        <v>52599</v>
      </c>
      <c r="K394" s="0" t="n">
        <v>15277.15</v>
      </c>
    </row>
    <row r="395" customFormat="false" ht="15" hidden="false" customHeight="false" outlineLevel="0" collapsed="false">
      <c r="A395" s="0" t="n">
        <v>2024</v>
      </c>
      <c r="B395" s="0" t="n">
        <v>10</v>
      </c>
      <c r="C395" s="0" t="s">
        <v>27</v>
      </c>
      <c r="D395" s="0" t="n">
        <v>77.08</v>
      </c>
      <c r="E395" s="0" t="n">
        <v>36904</v>
      </c>
      <c r="H395" s="0" t="n">
        <v>0.2856</v>
      </c>
      <c r="J395" s="0" t="n">
        <v>54362</v>
      </c>
      <c r="K395" s="0" t="n">
        <v>15523.99</v>
      </c>
    </row>
    <row r="396" customFormat="false" ht="15" hidden="false" customHeight="false" outlineLevel="0" collapsed="false">
      <c r="A396" s="0" t="n">
        <v>2024</v>
      </c>
      <c r="B396" s="0" t="n">
        <v>11</v>
      </c>
      <c r="C396" s="0" t="s">
        <v>27</v>
      </c>
      <c r="D396" s="0" t="n">
        <v>167</v>
      </c>
      <c r="E396" s="0" t="n">
        <v>39163</v>
      </c>
      <c r="F396" s="0" t="n">
        <v>300.960000000003</v>
      </c>
      <c r="H396" s="0" t="n">
        <v>0.307</v>
      </c>
      <c r="I396" s="0" t="n">
        <v>92.3947200000009</v>
      </c>
      <c r="J396" s="0" t="n">
        <v>64157</v>
      </c>
      <c r="K396" s="0" t="n">
        <v>19751.41</v>
      </c>
    </row>
    <row r="397" customFormat="false" ht="15" hidden="false" customHeight="false" outlineLevel="0" collapsed="false">
      <c r="A397" s="0" t="n">
        <v>2024</v>
      </c>
      <c r="B397" s="0" t="n">
        <v>12</v>
      </c>
      <c r="C397" s="0" t="s">
        <v>27</v>
      </c>
      <c r="D397" s="0" t="n">
        <v>313.3</v>
      </c>
      <c r="E397" s="0" t="n">
        <v>106394</v>
      </c>
      <c r="F397" s="0" t="n">
        <v>602.5</v>
      </c>
      <c r="H397" s="0" t="n">
        <v>0.331</v>
      </c>
      <c r="I397" s="0" t="n">
        <v>199.4275</v>
      </c>
      <c r="J397" s="0" t="n">
        <v>51593</v>
      </c>
      <c r="K397" s="0" t="n">
        <v>17063.94</v>
      </c>
    </row>
    <row r="398" customFormat="false" ht="15" hidden="false" customHeight="false" outlineLevel="0" collapsed="false">
      <c r="A398" s="0" t="n">
        <v>2025</v>
      </c>
      <c r="B398" s="0" t="n">
        <v>1</v>
      </c>
      <c r="C398" s="0" t="s">
        <v>27</v>
      </c>
      <c r="D398" s="0" t="n">
        <v>83.8</v>
      </c>
      <c r="E398" s="0" t="n">
        <v>33385</v>
      </c>
      <c r="F398" s="0" t="n">
        <v>255.759999999998</v>
      </c>
      <c r="H398" s="0" t="n">
        <v>0.335</v>
      </c>
      <c r="I398" s="0" t="n">
        <v>85.6795999999995</v>
      </c>
      <c r="J398" s="0" t="n">
        <v>61904</v>
      </c>
      <c r="K398" s="0" t="n">
        <v>20875.39</v>
      </c>
    </row>
    <row r="399" customFormat="false" ht="15" hidden="false" customHeight="false" outlineLevel="0" collapsed="false">
      <c r="A399" s="0" t="n">
        <v>2025</v>
      </c>
      <c r="B399" s="0" t="n">
        <v>2</v>
      </c>
      <c r="C399" s="0" t="s">
        <v>27</v>
      </c>
      <c r="D399" s="0" t="n">
        <v>164.4</v>
      </c>
      <c r="E399" s="0" t="n">
        <v>50236</v>
      </c>
      <c r="F399" s="0" t="n">
        <v>466.130000000001</v>
      </c>
      <c r="H399" s="0" t="n">
        <v>0.334</v>
      </c>
      <c r="I399" s="0" t="n">
        <v>155.68742</v>
      </c>
      <c r="J399" s="0" t="n">
        <v>60366</v>
      </c>
      <c r="K399" s="0" t="n">
        <v>20173.7</v>
      </c>
    </row>
    <row r="400" customFormat="false" ht="15" hidden="false" customHeight="false" outlineLevel="0" collapsed="false">
      <c r="A400" s="0" t="n">
        <v>2025</v>
      </c>
      <c r="B400" s="0" t="n">
        <v>3</v>
      </c>
      <c r="C400" s="0" t="s">
        <v>27</v>
      </c>
      <c r="D400" s="0" t="n">
        <v>67.3</v>
      </c>
      <c r="E400" s="0" t="n">
        <v>21941</v>
      </c>
      <c r="F400" s="0" t="n">
        <v>325.220000000001</v>
      </c>
      <c r="H400" s="0" t="n">
        <v>0.286</v>
      </c>
      <c r="I400" s="0" t="n">
        <v>93.0129200000003</v>
      </c>
      <c r="J400" s="0" t="n">
        <v>58209</v>
      </c>
      <c r="K400" s="0" t="n">
        <v>16648.58</v>
      </c>
    </row>
    <row r="401" customFormat="false" ht="15" hidden="false" customHeight="false" outlineLevel="0" collapsed="false">
      <c r="A401" s="0" t="n">
        <v>2025</v>
      </c>
      <c r="B401" s="0" t="n">
        <v>4</v>
      </c>
      <c r="C401" s="0" t="s">
        <v>27</v>
      </c>
      <c r="D401" s="0" t="n">
        <v>26.5</v>
      </c>
      <c r="E401" s="0" t="n">
        <v>9251</v>
      </c>
      <c r="F401" s="0" t="n">
        <v>83.3899999999994</v>
      </c>
      <c r="H401" s="0" t="n">
        <v>0.2655</v>
      </c>
      <c r="I401" s="0" t="n">
        <v>22.1400449999999</v>
      </c>
      <c r="J401" s="0" t="n">
        <v>41269</v>
      </c>
      <c r="K401" s="0" t="n">
        <v>10956.7</v>
      </c>
    </row>
    <row r="402" customFormat="false" ht="15" hidden="false" customHeight="false" outlineLevel="0" collapsed="false">
      <c r="A402" s="0" t="n">
        <v>2025</v>
      </c>
      <c r="B402" s="0" t="n">
        <v>5</v>
      </c>
      <c r="C402" s="0" t="s">
        <v>27</v>
      </c>
      <c r="D402" s="0" t="n">
        <v>122.3</v>
      </c>
      <c r="E402" s="0" t="n">
        <v>49539</v>
      </c>
      <c r="F402" s="0" t="n">
        <v>382.110000000001</v>
      </c>
      <c r="H402" s="0" t="n">
        <v>0.2575</v>
      </c>
      <c r="I402" s="0" t="n">
        <v>98.3933250000002</v>
      </c>
      <c r="J402" s="0" t="n">
        <v>30809</v>
      </c>
      <c r="K402" s="0" t="n">
        <v>7932.95</v>
      </c>
    </row>
    <row r="403" customFormat="false" ht="15" hidden="false" customHeight="false" outlineLevel="0" collapsed="false">
      <c r="A403" s="0" t="n">
        <v>2025</v>
      </c>
      <c r="B403" s="0" t="n">
        <v>6</v>
      </c>
      <c r="C403" s="0" t="s">
        <v>27</v>
      </c>
      <c r="D403" s="0" t="n">
        <v>257.3</v>
      </c>
      <c r="E403" s="0" t="n">
        <v>96390</v>
      </c>
      <c r="F403" s="0" t="n">
        <v>583.360000000001</v>
      </c>
      <c r="H403" s="0" t="n">
        <v>0.355</v>
      </c>
      <c r="I403" s="0" t="n">
        <v>207.0928</v>
      </c>
      <c r="J403" s="0" t="n">
        <v>33644</v>
      </c>
      <c r="K403" s="0" t="n">
        <v>11949.42</v>
      </c>
    </row>
    <row r="404" customFormat="false" ht="15" hidden="false" customHeight="false" outlineLevel="0" collapsed="false">
      <c r="A404" s="0" t="n">
        <v>2025</v>
      </c>
      <c r="B404" s="0" t="n">
        <v>7</v>
      </c>
      <c r="C404" s="0" t="s">
        <v>27</v>
      </c>
      <c r="D404" s="0" t="n">
        <v>82</v>
      </c>
      <c r="E404" s="0" t="n">
        <v>24626</v>
      </c>
      <c r="F404" s="0" t="n">
        <v>296.830000000002</v>
      </c>
      <c r="H404" s="0" t="n">
        <v>0.296</v>
      </c>
      <c r="I404" s="0" t="n">
        <v>87.8616800000005</v>
      </c>
      <c r="J404" s="0" t="n">
        <v>51483</v>
      </c>
      <c r="K404" s="0" t="n">
        <v>15262.33</v>
      </c>
    </row>
    <row r="405" customFormat="false" ht="15" hidden="false" customHeight="false" outlineLevel="0" collapsed="false">
      <c r="A405" s="0" t="n">
        <v>2025</v>
      </c>
      <c r="B405" s="0" t="n">
        <v>8</v>
      </c>
      <c r="C405" s="0" t="s">
        <v>27</v>
      </c>
      <c r="D405" s="0" t="n">
        <v>58.05</v>
      </c>
      <c r="E405" s="0" t="n">
        <v>18480</v>
      </c>
      <c r="F405" s="0" t="n">
        <v>152.790000000001</v>
      </c>
      <c r="H405" s="0" t="n">
        <v>0.3268</v>
      </c>
      <c r="I405" s="0" t="n">
        <v>49.9317720000003</v>
      </c>
      <c r="J405" s="0" t="n">
        <v>17650</v>
      </c>
      <c r="K405" s="0" t="n">
        <v>5768.63</v>
      </c>
    </row>
    <row r="406" customFormat="false" ht="15" hidden="false" customHeight="false" outlineLevel="0" collapsed="false">
      <c r="A406" s="0" t="n">
        <v>2025</v>
      </c>
      <c r="B406" s="0" t="n">
        <v>9</v>
      </c>
      <c r="C406" s="0" t="s">
        <v>27</v>
      </c>
      <c r="D406" s="0" t="n">
        <v>157.72</v>
      </c>
      <c r="E406" s="0" t="n">
        <v>48778</v>
      </c>
      <c r="F406" s="0" t="n">
        <v>450.66</v>
      </c>
      <c r="H406" s="0" t="n">
        <v>0</v>
      </c>
      <c r="I406" s="0" t="n">
        <v>0</v>
      </c>
      <c r="J406" s="0" t="n">
        <v>0</v>
      </c>
      <c r="K406" s="0" t="n">
        <v>0</v>
      </c>
    </row>
    <row r="407" customFormat="false" ht="15" hidden="false" customHeight="false" outlineLevel="0" collapsed="false">
      <c r="A407" s="0" t="n">
        <v>2025</v>
      </c>
      <c r="B407" s="0" t="n">
        <v>10</v>
      </c>
      <c r="C407" s="0" t="s">
        <v>27</v>
      </c>
      <c r="H407" s="0" t="n">
        <v>0</v>
      </c>
      <c r="J407" s="0" t="n">
        <v>0</v>
      </c>
      <c r="K407" s="0" t="n">
        <v>0</v>
      </c>
    </row>
    <row r="408" customFormat="false" ht="15" hidden="false" customHeight="false" outlineLevel="0" collapsed="false">
      <c r="A408" s="0" t="n">
        <v>2025</v>
      </c>
      <c r="B408" s="0" t="n">
        <v>11</v>
      </c>
      <c r="C408" s="0" t="s">
        <v>27</v>
      </c>
      <c r="H408" s="0" t="n">
        <v>0</v>
      </c>
      <c r="J408" s="0" t="n">
        <v>0</v>
      </c>
      <c r="K408" s="0" t="n">
        <v>0</v>
      </c>
    </row>
    <row r="409" customFormat="false" ht="15" hidden="false" customHeight="false" outlineLevel="0" collapsed="false">
      <c r="A409" s="0" t="n">
        <v>2025</v>
      </c>
      <c r="B409" s="0" t="n">
        <v>12</v>
      </c>
      <c r="C409" s="0" t="s">
        <v>27</v>
      </c>
      <c r="H409" s="0" t="n">
        <v>0</v>
      </c>
      <c r="J409" s="0" t="n">
        <v>0</v>
      </c>
      <c r="K409" s="0" t="n">
        <v>0</v>
      </c>
    </row>
    <row r="410" customFormat="false" ht="15" hidden="false" customHeight="false" outlineLevel="0" collapsed="false">
      <c r="A410" s="0" t="n">
        <v>2024</v>
      </c>
      <c r="B410" s="0" t="n">
        <v>1</v>
      </c>
      <c r="C410" s="0" t="s">
        <v>28</v>
      </c>
      <c r="D410" s="0" t="n">
        <v>32.47</v>
      </c>
      <c r="E410" s="0" t="n">
        <v>11214</v>
      </c>
      <c r="H410" s="0" t="n">
        <v>0.2557</v>
      </c>
      <c r="J410" s="0" t="n">
        <v>64934</v>
      </c>
      <c r="K410" s="0" t="n">
        <v>16601.39</v>
      </c>
    </row>
    <row r="411" customFormat="false" ht="15" hidden="false" customHeight="false" outlineLevel="0" collapsed="false">
      <c r="A411" s="0" t="n">
        <v>2024</v>
      </c>
      <c r="B411" s="0" t="n">
        <v>2</v>
      </c>
      <c r="C411" s="0" t="s">
        <v>28</v>
      </c>
      <c r="D411" s="0" t="n">
        <v>89.87</v>
      </c>
      <c r="E411" s="0" t="n">
        <v>35840</v>
      </c>
      <c r="H411" s="0" t="n">
        <v>0.2378</v>
      </c>
      <c r="J411" s="0" t="n">
        <v>71197</v>
      </c>
      <c r="K411" s="0" t="n">
        <v>16934</v>
      </c>
    </row>
    <row r="412" customFormat="false" ht="15" hidden="false" customHeight="false" outlineLevel="0" collapsed="false">
      <c r="A412" s="0" t="n">
        <v>2024</v>
      </c>
      <c r="B412" s="0" t="n">
        <v>3</v>
      </c>
      <c r="C412" s="0" t="s">
        <v>28</v>
      </c>
      <c r="D412" s="0" t="n">
        <v>8.01</v>
      </c>
      <c r="E412" s="0" t="n">
        <v>5376</v>
      </c>
      <c r="H412" s="0" t="n">
        <v>0.2428</v>
      </c>
      <c r="J412" s="0" t="n">
        <v>51152</v>
      </c>
      <c r="K412" s="0" t="n">
        <v>12419.74</v>
      </c>
    </row>
    <row r="413" customFormat="false" ht="15" hidden="false" customHeight="false" outlineLevel="0" collapsed="false">
      <c r="A413" s="0" t="n">
        <v>2024</v>
      </c>
      <c r="B413" s="0" t="n">
        <v>4</v>
      </c>
      <c r="C413" s="0" t="s">
        <v>28</v>
      </c>
      <c r="D413" s="0" t="n">
        <v>60.16</v>
      </c>
      <c r="E413" s="0" t="n">
        <v>20237</v>
      </c>
      <c r="H413" s="0" t="n">
        <v>0.2416</v>
      </c>
      <c r="J413" s="0" t="n">
        <v>45316</v>
      </c>
      <c r="K413" s="0" t="n">
        <v>10948.47</v>
      </c>
    </row>
    <row r="414" customFormat="false" ht="15" hidden="false" customHeight="false" outlineLevel="0" collapsed="false">
      <c r="A414" s="0" t="n">
        <v>2024</v>
      </c>
      <c r="B414" s="0" t="n">
        <v>5</v>
      </c>
      <c r="C414" s="0" t="s">
        <v>28</v>
      </c>
      <c r="D414" s="0" t="n">
        <v>32.22</v>
      </c>
      <c r="E414" s="0" t="n">
        <v>12170</v>
      </c>
      <c r="H414" s="0" t="n">
        <v>0.2507</v>
      </c>
      <c r="J414" s="0" t="n">
        <v>51330</v>
      </c>
      <c r="K414" s="0" t="n">
        <v>12868.58</v>
      </c>
    </row>
    <row r="415" customFormat="false" ht="15" hidden="false" customHeight="false" outlineLevel="0" collapsed="false">
      <c r="A415" s="0" t="n">
        <v>2024</v>
      </c>
      <c r="B415" s="0" t="n">
        <v>6</v>
      </c>
      <c r="C415" s="0" t="s">
        <v>28</v>
      </c>
      <c r="D415" s="0" t="n">
        <v>27.62</v>
      </c>
      <c r="E415" s="0" t="n">
        <v>11200</v>
      </c>
      <c r="H415" s="0" t="n">
        <v>0.2722</v>
      </c>
      <c r="J415" s="0" t="n">
        <v>42151</v>
      </c>
      <c r="K415" s="0" t="n">
        <v>11473.9</v>
      </c>
    </row>
    <row r="416" customFormat="false" ht="15" hidden="false" customHeight="false" outlineLevel="0" collapsed="false">
      <c r="A416" s="0" t="n">
        <v>2024</v>
      </c>
      <c r="B416" s="0" t="n">
        <v>7</v>
      </c>
      <c r="C416" s="0" t="s">
        <v>28</v>
      </c>
      <c r="D416" s="0" t="n">
        <v>201.4</v>
      </c>
      <c r="E416" s="0" t="n">
        <v>81760</v>
      </c>
      <c r="H416" s="0" t="n">
        <v>0.287</v>
      </c>
      <c r="J416" s="0" t="n">
        <v>67581</v>
      </c>
      <c r="K416" s="0" t="n">
        <v>19396.73</v>
      </c>
    </row>
    <row r="417" customFormat="false" ht="15" hidden="false" customHeight="false" outlineLevel="0" collapsed="false">
      <c r="A417" s="0" t="n">
        <v>2024</v>
      </c>
      <c r="B417" s="0" t="n">
        <v>8</v>
      </c>
      <c r="C417" s="0" t="s">
        <v>28</v>
      </c>
      <c r="D417" s="0" t="n">
        <v>149.7</v>
      </c>
      <c r="E417" s="0" t="n">
        <v>9756</v>
      </c>
      <c r="H417" s="0" t="n">
        <v>0.3047</v>
      </c>
      <c r="J417" s="0" t="n">
        <v>44796</v>
      </c>
      <c r="K417" s="0" t="n">
        <v>13651.04</v>
      </c>
    </row>
    <row r="418" customFormat="false" ht="15" hidden="false" customHeight="false" outlineLevel="0" collapsed="false">
      <c r="A418" s="0" t="n">
        <v>2024</v>
      </c>
      <c r="B418" s="0" t="n">
        <v>9</v>
      </c>
      <c r="C418" s="0" t="s">
        <v>28</v>
      </c>
      <c r="D418" s="0" t="n">
        <v>39.27</v>
      </c>
      <c r="E418" s="0" t="n">
        <v>10745</v>
      </c>
      <c r="H418" s="0" t="n">
        <v>0.2904</v>
      </c>
      <c r="J418" s="0" t="n">
        <v>52599</v>
      </c>
      <c r="K418" s="0" t="n">
        <v>15277.15</v>
      </c>
    </row>
    <row r="419" customFormat="false" ht="15" hidden="false" customHeight="false" outlineLevel="0" collapsed="false">
      <c r="A419" s="0" t="n">
        <v>2024</v>
      </c>
      <c r="B419" s="0" t="n">
        <v>10</v>
      </c>
      <c r="C419" s="0" t="s">
        <v>28</v>
      </c>
      <c r="D419" s="0" t="n">
        <v>105.75</v>
      </c>
      <c r="E419" s="0" t="n">
        <v>31310</v>
      </c>
      <c r="H419" s="0" t="n">
        <v>0.2856</v>
      </c>
      <c r="J419" s="0" t="n">
        <v>54362</v>
      </c>
      <c r="K419" s="0" t="n">
        <v>15523.99</v>
      </c>
    </row>
    <row r="420" customFormat="false" ht="15" hidden="false" customHeight="false" outlineLevel="0" collapsed="false">
      <c r="A420" s="0" t="n">
        <v>2024</v>
      </c>
      <c r="B420" s="0" t="n">
        <v>11</v>
      </c>
      <c r="C420" s="0" t="s">
        <v>28</v>
      </c>
      <c r="D420" s="0" t="n">
        <v>170.5</v>
      </c>
      <c r="E420" s="0" t="n">
        <v>20105</v>
      </c>
      <c r="F420" s="0" t="n">
        <v>1071.04</v>
      </c>
      <c r="H420" s="0" t="n">
        <v>0.307</v>
      </c>
      <c r="I420" s="0" t="n">
        <v>328.80928</v>
      </c>
      <c r="J420" s="0" t="n">
        <v>64157</v>
      </c>
      <c r="K420" s="0" t="n">
        <v>19751.41</v>
      </c>
    </row>
    <row r="421" customFormat="false" ht="15" hidden="false" customHeight="false" outlineLevel="0" collapsed="false">
      <c r="A421" s="0" t="n">
        <v>2024</v>
      </c>
      <c r="B421" s="0" t="n">
        <v>12</v>
      </c>
      <c r="C421" s="0" t="s">
        <v>28</v>
      </c>
      <c r="D421" s="0" t="n">
        <v>54.1</v>
      </c>
      <c r="E421" s="0" t="n">
        <v>18252</v>
      </c>
      <c r="F421" s="0" t="n">
        <v>888.67</v>
      </c>
      <c r="H421" s="0" t="n">
        <v>0.331</v>
      </c>
      <c r="I421" s="0" t="n">
        <v>294.14977</v>
      </c>
      <c r="J421" s="0" t="n">
        <v>51593</v>
      </c>
      <c r="K421" s="0" t="n">
        <v>17063.94</v>
      </c>
    </row>
    <row r="422" customFormat="false" ht="15" hidden="false" customHeight="false" outlineLevel="0" collapsed="false">
      <c r="A422" s="0" t="n">
        <v>2025</v>
      </c>
      <c r="B422" s="0" t="n">
        <v>1</v>
      </c>
      <c r="C422" s="0" t="s">
        <v>28</v>
      </c>
      <c r="D422" s="0" t="n">
        <v>106.1</v>
      </c>
      <c r="E422" s="0" t="n">
        <v>40745</v>
      </c>
      <c r="F422" s="0" t="n">
        <v>1432.46</v>
      </c>
      <c r="H422" s="0" t="n">
        <v>0.335</v>
      </c>
      <c r="I422" s="0" t="n">
        <v>479.8741</v>
      </c>
      <c r="J422" s="0" t="n">
        <v>61904</v>
      </c>
      <c r="K422" s="0" t="n">
        <v>20875.39</v>
      </c>
    </row>
    <row r="423" customFormat="false" ht="15" hidden="false" customHeight="false" outlineLevel="0" collapsed="false">
      <c r="A423" s="0" t="n">
        <v>2025</v>
      </c>
      <c r="B423" s="0" t="n">
        <v>2</v>
      </c>
      <c r="C423" s="0" t="s">
        <v>28</v>
      </c>
      <c r="D423" s="0" t="n">
        <v>58.3</v>
      </c>
      <c r="E423" s="0" t="n">
        <v>23470</v>
      </c>
      <c r="F423" s="0" t="n">
        <v>1260.74</v>
      </c>
      <c r="H423" s="0" t="n">
        <v>0.334</v>
      </c>
      <c r="I423" s="0" t="n">
        <v>421.08716</v>
      </c>
      <c r="J423" s="0" t="n">
        <v>60366</v>
      </c>
      <c r="K423" s="0" t="n">
        <v>20173.7</v>
      </c>
    </row>
    <row r="424" customFormat="false" ht="15" hidden="false" customHeight="false" outlineLevel="0" collapsed="false">
      <c r="A424" s="0" t="n">
        <v>2025</v>
      </c>
      <c r="B424" s="0" t="n">
        <v>3</v>
      </c>
      <c r="C424" s="0" t="s">
        <v>28</v>
      </c>
      <c r="D424" s="0" t="n">
        <v>117</v>
      </c>
      <c r="E424" s="0" t="n">
        <v>43809</v>
      </c>
      <c r="F424" s="0" t="n">
        <v>1940.01</v>
      </c>
      <c r="H424" s="0" t="n">
        <v>0.286</v>
      </c>
      <c r="I424" s="0" t="n">
        <v>554.84286</v>
      </c>
      <c r="J424" s="0" t="n">
        <v>58209</v>
      </c>
      <c r="K424" s="0" t="n">
        <v>16648.58</v>
      </c>
    </row>
    <row r="425" customFormat="false" ht="15" hidden="false" customHeight="false" outlineLevel="0" collapsed="false">
      <c r="A425" s="0" t="n">
        <v>2025</v>
      </c>
      <c r="B425" s="0" t="n">
        <v>4</v>
      </c>
      <c r="C425" s="0" t="s">
        <v>28</v>
      </c>
      <c r="D425" s="0" t="n">
        <v>80.9</v>
      </c>
      <c r="E425" s="0" t="n">
        <v>26090</v>
      </c>
      <c r="F425" s="0" t="n">
        <v>1086.83</v>
      </c>
      <c r="H425" s="0" t="n">
        <v>0.2655</v>
      </c>
      <c r="I425" s="0" t="n">
        <v>288.553365</v>
      </c>
      <c r="J425" s="0" t="n">
        <v>41269</v>
      </c>
      <c r="K425" s="0" t="n">
        <v>10956.7</v>
      </c>
    </row>
    <row r="426" customFormat="false" ht="15" hidden="false" customHeight="false" outlineLevel="0" collapsed="false">
      <c r="A426" s="0" t="n">
        <v>2025</v>
      </c>
      <c r="B426" s="0" t="n">
        <v>5</v>
      </c>
      <c r="C426" s="0" t="s">
        <v>28</v>
      </c>
      <c r="D426" s="0" t="n">
        <v>61.4</v>
      </c>
      <c r="E426" s="0" t="n">
        <v>22280</v>
      </c>
      <c r="F426" s="0" t="n">
        <v>923.16</v>
      </c>
      <c r="H426" s="0" t="n">
        <v>0.2575</v>
      </c>
      <c r="I426" s="0" t="n">
        <v>237.7137</v>
      </c>
      <c r="J426" s="0" t="n">
        <v>30809</v>
      </c>
      <c r="K426" s="0" t="n">
        <v>7932.95</v>
      </c>
    </row>
    <row r="427" customFormat="false" ht="15" hidden="false" customHeight="false" outlineLevel="0" collapsed="false">
      <c r="A427" s="0" t="n">
        <v>2025</v>
      </c>
      <c r="B427" s="0" t="n">
        <v>6</v>
      </c>
      <c r="C427" s="0" t="s">
        <v>28</v>
      </c>
      <c r="D427" s="0" t="n">
        <v>118.2</v>
      </c>
      <c r="E427" s="0" t="n">
        <v>53907</v>
      </c>
      <c r="F427" s="0" t="n">
        <v>1403.14</v>
      </c>
      <c r="H427" s="0" t="n">
        <v>0.355</v>
      </c>
      <c r="I427" s="0" t="n">
        <v>498.1147</v>
      </c>
      <c r="J427" s="0" t="n">
        <v>33644</v>
      </c>
      <c r="K427" s="0" t="n">
        <v>11949.42</v>
      </c>
    </row>
    <row r="428" customFormat="false" ht="15" hidden="false" customHeight="false" outlineLevel="0" collapsed="false">
      <c r="A428" s="0" t="n">
        <v>2025</v>
      </c>
      <c r="B428" s="0" t="n">
        <v>7</v>
      </c>
      <c r="C428" s="0" t="s">
        <v>28</v>
      </c>
      <c r="D428" s="0" t="n">
        <v>107.8</v>
      </c>
      <c r="E428" s="0" t="n">
        <v>41601</v>
      </c>
      <c r="F428" s="0" t="n">
        <v>1518.73</v>
      </c>
      <c r="H428" s="0" t="n">
        <v>0.296</v>
      </c>
      <c r="I428" s="0" t="n">
        <v>449.54408</v>
      </c>
      <c r="J428" s="0" t="n">
        <v>51483</v>
      </c>
      <c r="K428" s="0" t="n">
        <v>15262.33</v>
      </c>
    </row>
    <row r="429" customFormat="false" ht="15" hidden="false" customHeight="false" outlineLevel="0" collapsed="false">
      <c r="A429" s="0" t="n">
        <v>2025</v>
      </c>
      <c r="B429" s="0" t="n">
        <v>8</v>
      </c>
      <c r="C429" s="0" t="s">
        <v>28</v>
      </c>
      <c r="D429" s="0" t="n">
        <v>70.04</v>
      </c>
      <c r="E429" s="0" t="n">
        <v>32592</v>
      </c>
      <c r="F429" s="0" t="n">
        <v>697.35</v>
      </c>
      <c r="H429" s="0" t="n">
        <v>0.3268</v>
      </c>
      <c r="J429" s="0" t="n">
        <v>17650</v>
      </c>
      <c r="K429" s="0" t="n">
        <v>5768.63</v>
      </c>
    </row>
    <row r="430" customFormat="false" ht="15" hidden="false" customHeight="false" outlineLevel="0" collapsed="false">
      <c r="A430" s="0" t="n">
        <v>2025</v>
      </c>
      <c r="B430" s="0" t="n">
        <v>9</v>
      </c>
      <c r="C430" s="0" t="s">
        <v>28</v>
      </c>
      <c r="D430" s="0" t="n">
        <v>245.35</v>
      </c>
      <c r="E430" s="0" t="n">
        <v>114670</v>
      </c>
      <c r="F430" s="0" t="n">
        <v>2729.53</v>
      </c>
      <c r="H430" s="0" t="n">
        <v>0</v>
      </c>
      <c r="J430" s="0" t="n">
        <v>0</v>
      </c>
      <c r="K430" s="0" t="n">
        <v>0</v>
      </c>
    </row>
    <row r="431" customFormat="false" ht="15" hidden="false" customHeight="false" outlineLevel="0" collapsed="false">
      <c r="A431" s="0" t="n">
        <v>2025</v>
      </c>
      <c r="B431" s="0" t="n">
        <v>10</v>
      </c>
      <c r="C431" s="0" t="s">
        <v>28</v>
      </c>
      <c r="H431" s="0" t="n">
        <v>0</v>
      </c>
      <c r="J431" s="0" t="n">
        <v>0</v>
      </c>
      <c r="K431" s="0" t="n">
        <v>0</v>
      </c>
    </row>
    <row r="432" customFormat="false" ht="15" hidden="false" customHeight="false" outlineLevel="0" collapsed="false">
      <c r="A432" s="0" t="n">
        <v>2025</v>
      </c>
      <c r="B432" s="0" t="n">
        <v>11</v>
      </c>
      <c r="C432" s="0" t="s">
        <v>28</v>
      </c>
      <c r="H432" s="0" t="n">
        <v>0</v>
      </c>
      <c r="J432" s="0" t="n">
        <v>0</v>
      </c>
      <c r="K432" s="0" t="n">
        <v>0</v>
      </c>
    </row>
    <row r="433" customFormat="false" ht="15" hidden="false" customHeight="false" outlineLevel="0" collapsed="false">
      <c r="A433" s="0" t="n">
        <v>2025</v>
      </c>
      <c r="B433" s="0" t="n">
        <v>12</v>
      </c>
      <c r="C433" s="0" t="s">
        <v>28</v>
      </c>
      <c r="H433" s="0" t="n">
        <v>0</v>
      </c>
      <c r="J433" s="0" t="n">
        <v>0</v>
      </c>
      <c r="K433" s="0" t="n">
        <v>0</v>
      </c>
    </row>
    <row r="434" customFormat="false" ht="15" hidden="false" customHeight="false" outlineLevel="0" collapsed="false">
      <c r="A434" s="0" t="n">
        <v>2024</v>
      </c>
      <c r="B434" s="0" t="n">
        <v>1</v>
      </c>
      <c r="C434" s="0" t="s">
        <v>29</v>
      </c>
      <c r="D434" s="0" t="n">
        <v>0</v>
      </c>
      <c r="E434" s="0" t="n">
        <v>0</v>
      </c>
      <c r="H434" s="0" t="n">
        <v>0.2557</v>
      </c>
      <c r="J434" s="0" t="n">
        <v>64934</v>
      </c>
      <c r="K434" s="0" t="n">
        <v>16601.39</v>
      </c>
    </row>
    <row r="435" customFormat="false" ht="15" hidden="false" customHeight="false" outlineLevel="0" collapsed="false">
      <c r="A435" s="0" t="n">
        <v>2024</v>
      </c>
      <c r="B435" s="0" t="n">
        <v>2</v>
      </c>
      <c r="C435" s="0" t="s">
        <v>29</v>
      </c>
      <c r="D435" s="0" t="n">
        <v>107.8</v>
      </c>
      <c r="E435" s="0" t="n">
        <v>35872</v>
      </c>
      <c r="H435" s="0" t="n">
        <v>0.2378</v>
      </c>
      <c r="J435" s="0" t="n">
        <v>71197</v>
      </c>
      <c r="K435" s="0" t="n">
        <v>16934</v>
      </c>
    </row>
    <row r="436" customFormat="false" ht="15" hidden="false" customHeight="false" outlineLevel="0" collapsed="false">
      <c r="A436" s="0" t="n">
        <v>2024</v>
      </c>
      <c r="B436" s="0" t="n">
        <v>3</v>
      </c>
      <c r="C436" s="0" t="s">
        <v>29</v>
      </c>
      <c r="D436" s="0" t="n">
        <v>0</v>
      </c>
      <c r="E436" s="0" t="n">
        <v>1</v>
      </c>
      <c r="H436" s="0" t="n">
        <v>0.2428</v>
      </c>
      <c r="J436" s="0" t="n">
        <v>51152</v>
      </c>
      <c r="K436" s="0" t="n">
        <v>12419.74</v>
      </c>
    </row>
    <row r="437" customFormat="false" ht="15" hidden="false" customHeight="false" outlineLevel="0" collapsed="false">
      <c r="A437" s="0" t="n">
        <v>2024</v>
      </c>
      <c r="B437" s="0" t="n">
        <v>4</v>
      </c>
      <c r="C437" s="0" t="s">
        <v>29</v>
      </c>
      <c r="D437" s="0" t="n">
        <v>47.6</v>
      </c>
      <c r="E437" s="0" t="n">
        <v>10590</v>
      </c>
      <c r="H437" s="0" t="n">
        <v>0.2416</v>
      </c>
      <c r="J437" s="0" t="n">
        <v>45316</v>
      </c>
      <c r="K437" s="0" t="n">
        <v>10948.47</v>
      </c>
    </row>
    <row r="438" customFormat="false" ht="15" hidden="false" customHeight="false" outlineLevel="0" collapsed="false">
      <c r="A438" s="0" t="n">
        <v>2024</v>
      </c>
      <c r="B438" s="0" t="n">
        <v>5</v>
      </c>
      <c r="C438" s="0" t="s">
        <v>29</v>
      </c>
      <c r="D438" s="0" t="n">
        <v>122.14</v>
      </c>
      <c r="E438" s="0" t="n">
        <v>43830</v>
      </c>
      <c r="H438" s="0" t="n">
        <v>0.2507</v>
      </c>
      <c r="J438" s="0" t="n">
        <v>51330</v>
      </c>
      <c r="K438" s="0" t="n">
        <v>12868.58</v>
      </c>
    </row>
    <row r="439" customFormat="false" ht="15" hidden="false" customHeight="false" outlineLevel="0" collapsed="false">
      <c r="A439" s="0" t="n">
        <v>2024</v>
      </c>
      <c r="B439" s="0" t="n">
        <v>6</v>
      </c>
      <c r="C439" s="0" t="s">
        <v>29</v>
      </c>
      <c r="D439" s="0" t="n">
        <v>37.02</v>
      </c>
      <c r="E439" s="0" t="n">
        <v>11150</v>
      </c>
      <c r="H439" s="0" t="n">
        <v>0.2722</v>
      </c>
      <c r="J439" s="0" t="n">
        <v>42151</v>
      </c>
      <c r="K439" s="0" t="n">
        <v>11473.9</v>
      </c>
    </row>
    <row r="440" customFormat="false" ht="15" hidden="false" customHeight="false" outlineLevel="0" collapsed="false">
      <c r="A440" s="0" t="n">
        <v>2024</v>
      </c>
      <c r="B440" s="0" t="n">
        <v>7</v>
      </c>
      <c r="C440" s="0" t="s">
        <v>29</v>
      </c>
      <c r="D440" s="0" t="n">
        <v>30.45</v>
      </c>
      <c r="E440" s="0" t="n">
        <v>10071</v>
      </c>
      <c r="H440" s="0" t="n">
        <v>0.287</v>
      </c>
      <c r="J440" s="0" t="n">
        <v>67581</v>
      </c>
      <c r="K440" s="0" t="n">
        <v>19396.73</v>
      </c>
    </row>
    <row r="441" customFormat="false" ht="15" hidden="false" customHeight="false" outlineLevel="0" collapsed="false">
      <c r="A441" s="0" t="n">
        <v>2024</v>
      </c>
      <c r="B441" s="0" t="n">
        <v>8</v>
      </c>
      <c r="C441" s="0" t="s">
        <v>29</v>
      </c>
      <c r="D441" s="0" t="n">
        <v>39.08</v>
      </c>
      <c r="E441" s="0" t="n">
        <v>14982</v>
      </c>
      <c r="H441" s="0" t="n">
        <v>0.3047</v>
      </c>
      <c r="J441" s="0" t="n">
        <v>44796</v>
      </c>
      <c r="K441" s="0" t="n">
        <v>13651.04</v>
      </c>
    </row>
    <row r="442" customFormat="false" ht="15" hidden="false" customHeight="false" outlineLevel="0" collapsed="false">
      <c r="A442" s="0" t="n">
        <v>2024</v>
      </c>
      <c r="B442" s="0" t="n">
        <v>9</v>
      </c>
      <c r="C442" s="0" t="s">
        <v>29</v>
      </c>
      <c r="D442" s="0" t="n">
        <v>30.35</v>
      </c>
      <c r="E442" s="0" t="n">
        <v>11340</v>
      </c>
      <c r="H442" s="0" t="n">
        <v>0.2904</v>
      </c>
      <c r="J442" s="0" t="n">
        <v>52599</v>
      </c>
      <c r="K442" s="0" t="n">
        <v>15277.15</v>
      </c>
    </row>
    <row r="443" customFormat="false" ht="15" hidden="false" customHeight="false" outlineLevel="0" collapsed="false">
      <c r="A443" s="0" t="n">
        <v>2024</v>
      </c>
      <c r="B443" s="0" t="n">
        <v>10</v>
      </c>
      <c r="C443" s="0" t="s">
        <v>29</v>
      </c>
      <c r="D443" s="0" t="n">
        <v>108.29</v>
      </c>
      <c r="E443" s="0" t="n">
        <v>53551</v>
      </c>
      <c r="H443" s="0" t="n">
        <v>0.2856</v>
      </c>
      <c r="J443" s="0" t="n">
        <v>54362</v>
      </c>
      <c r="K443" s="0" t="n">
        <v>15523.99</v>
      </c>
    </row>
    <row r="444" customFormat="false" ht="15" hidden="false" customHeight="false" outlineLevel="0" collapsed="false">
      <c r="A444" s="0" t="n">
        <v>2024</v>
      </c>
      <c r="B444" s="0" t="n">
        <v>11</v>
      </c>
      <c r="C444" s="0" t="s">
        <v>29</v>
      </c>
      <c r="D444" s="0" t="n">
        <v>45.7</v>
      </c>
      <c r="E444" s="0" t="n">
        <v>16163</v>
      </c>
      <c r="F444" s="0" t="n">
        <v>934.72</v>
      </c>
      <c r="H444" s="0" t="n">
        <v>0.307</v>
      </c>
      <c r="I444" s="0" t="n">
        <v>286.95904</v>
      </c>
      <c r="J444" s="0" t="n">
        <v>64157</v>
      </c>
      <c r="K444" s="0" t="n">
        <v>19751.41</v>
      </c>
    </row>
    <row r="445" customFormat="false" ht="15" hidden="false" customHeight="false" outlineLevel="0" collapsed="false">
      <c r="A445" s="0" t="n">
        <v>2024</v>
      </c>
      <c r="B445" s="0" t="n">
        <v>12</v>
      </c>
      <c r="C445" s="0" t="s">
        <v>29</v>
      </c>
      <c r="D445" s="0" t="n">
        <v>21.1</v>
      </c>
      <c r="E445" s="0" t="n">
        <v>9100</v>
      </c>
      <c r="F445" s="0" t="n">
        <v>395.78</v>
      </c>
      <c r="H445" s="0" t="n">
        <v>0.331</v>
      </c>
      <c r="I445" s="0" t="n">
        <v>131.00318</v>
      </c>
      <c r="J445" s="0" t="n">
        <v>51593</v>
      </c>
      <c r="K445" s="0" t="n">
        <v>17063.94</v>
      </c>
    </row>
    <row r="446" customFormat="false" ht="15" hidden="false" customHeight="false" outlineLevel="0" collapsed="false">
      <c r="A446" s="0" t="n">
        <v>2025</v>
      </c>
      <c r="B446" s="0" t="n">
        <v>1</v>
      </c>
      <c r="C446" s="0" t="s">
        <v>29</v>
      </c>
      <c r="D446" s="0" t="n">
        <v>72.6</v>
      </c>
      <c r="E446" s="0" t="n">
        <v>20219</v>
      </c>
      <c r="F446" s="0" t="n">
        <v>1069.29</v>
      </c>
      <c r="H446" s="0" t="n">
        <v>0.335</v>
      </c>
      <c r="I446" s="0" t="n">
        <v>358.21215</v>
      </c>
      <c r="J446" s="0" t="n">
        <v>61904</v>
      </c>
      <c r="K446" s="0" t="n">
        <v>20875.39</v>
      </c>
    </row>
    <row r="447" customFormat="false" ht="15" hidden="false" customHeight="false" outlineLevel="0" collapsed="false">
      <c r="A447" s="0" t="n">
        <v>2025</v>
      </c>
      <c r="B447" s="0" t="n">
        <v>2</v>
      </c>
      <c r="C447" s="0" t="s">
        <v>29</v>
      </c>
      <c r="D447" s="0" t="n">
        <v>180.6</v>
      </c>
      <c r="E447" s="0" t="n">
        <v>29367</v>
      </c>
      <c r="F447" s="0" t="n">
        <v>1530.02</v>
      </c>
      <c r="H447" s="0" t="n">
        <v>0.334</v>
      </c>
      <c r="I447" s="0" t="n">
        <v>511.02668</v>
      </c>
      <c r="J447" s="0" t="n">
        <v>60366</v>
      </c>
      <c r="K447" s="0" t="n">
        <v>20173.7</v>
      </c>
    </row>
    <row r="448" customFormat="false" ht="15" hidden="false" customHeight="false" outlineLevel="0" collapsed="false">
      <c r="A448" s="0" t="n">
        <v>2025</v>
      </c>
      <c r="B448" s="0" t="n">
        <v>3</v>
      </c>
      <c r="C448" s="0" t="s">
        <v>29</v>
      </c>
      <c r="D448" s="0" t="n">
        <v>0</v>
      </c>
      <c r="E448" s="0" t="n">
        <v>0</v>
      </c>
      <c r="F448" s="0" t="n">
        <v>299.4</v>
      </c>
      <c r="H448" s="0" t="n">
        <v>0.286</v>
      </c>
      <c r="I448" s="0" t="n">
        <v>85.6283999999999</v>
      </c>
      <c r="J448" s="0" t="n">
        <v>58209</v>
      </c>
      <c r="K448" s="0" t="n">
        <v>16648.58</v>
      </c>
    </row>
    <row r="449" customFormat="false" ht="15" hidden="false" customHeight="false" outlineLevel="0" collapsed="false">
      <c r="A449" s="0" t="n">
        <v>2025</v>
      </c>
      <c r="B449" s="0" t="n">
        <v>4</v>
      </c>
      <c r="C449" s="0" t="s">
        <v>29</v>
      </c>
      <c r="D449" s="0" t="n">
        <v>0</v>
      </c>
      <c r="E449" s="0" t="n">
        <v>0</v>
      </c>
      <c r="F449" s="0" t="n">
        <v>83.3699999999999</v>
      </c>
      <c r="H449" s="0" t="n">
        <v>0.2655</v>
      </c>
      <c r="I449" s="0" t="n">
        <v>22.134735</v>
      </c>
      <c r="J449" s="0" t="n">
        <v>41269</v>
      </c>
      <c r="K449" s="0" t="n">
        <v>10956.7</v>
      </c>
    </row>
    <row r="450" customFormat="false" ht="15" hidden="false" customHeight="false" outlineLevel="0" collapsed="false">
      <c r="A450" s="0" t="n">
        <v>2025</v>
      </c>
      <c r="B450" s="0" t="n">
        <v>5</v>
      </c>
      <c r="C450" s="0" t="s">
        <v>29</v>
      </c>
      <c r="D450" s="0" t="n">
        <v>0</v>
      </c>
      <c r="E450" s="0" t="n">
        <v>0</v>
      </c>
      <c r="F450" s="0" t="n">
        <v>64.6999999999998</v>
      </c>
      <c r="H450" s="0" t="n">
        <v>0.2575</v>
      </c>
      <c r="I450" s="0" t="n">
        <v>16.66025</v>
      </c>
      <c r="J450" s="0" t="n">
        <v>30809</v>
      </c>
      <c r="K450" s="0" t="n">
        <v>7932.95</v>
      </c>
    </row>
    <row r="451" customFormat="false" ht="15" hidden="false" customHeight="false" outlineLevel="0" collapsed="false">
      <c r="A451" s="0" t="n">
        <v>2025</v>
      </c>
      <c r="B451" s="0" t="n">
        <v>6</v>
      </c>
      <c r="C451" s="0" t="s">
        <v>29</v>
      </c>
      <c r="D451" s="0" t="n">
        <v>0</v>
      </c>
      <c r="E451" s="0" t="n">
        <v>0</v>
      </c>
      <c r="F451" s="0" t="n">
        <v>42.1300000000001</v>
      </c>
      <c r="H451" s="0" t="n">
        <v>0.355</v>
      </c>
      <c r="I451" s="0" t="n">
        <v>14.95615</v>
      </c>
      <c r="J451" s="0" t="n">
        <v>33644</v>
      </c>
      <c r="K451" s="0" t="n">
        <v>11949.42</v>
      </c>
    </row>
    <row r="452" customFormat="false" ht="15" hidden="false" customHeight="false" outlineLevel="0" collapsed="false">
      <c r="A452" s="0" t="n">
        <v>2025</v>
      </c>
      <c r="B452" s="0" t="n">
        <v>7</v>
      </c>
      <c r="C452" s="0" t="s">
        <v>29</v>
      </c>
      <c r="D452" s="0" t="n">
        <v>0</v>
      </c>
      <c r="E452" s="0" t="n">
        <v>0</v>
      </c>
      <c r="F452" s="0" t="n">
        <v>53.3999999999996</v>
      </c>
      <c r="H452" s="0" t="n">
        <v>0.296</v>
      </c>
      <c r="I452" s="0" t="n">
        <v>15.8063999999999</v>
      </c>
      <c r="J452" s="0" t="n">
        <v>51483</v>
      </c>
      <c r="K452" s="0" t="n">
        <v>15262.33</v>
      </c>
    </row>
    <row r="453" customFormat="false" ht="15" hidden="false" customHeight="false" outlineLevel="0" collapsed="false">
      <c r="A453" s="0" t="n">
        <v>2025</v>
      </c>
      <c r="B453" s="0" t="n">
        <v>8</v>
      </c>
      <c r="C453" s="0" t="s">
        <v>29</v>
      </c>
      <c r="D453" s="0" t="n">
        <v>0</v>
      </c>
      <c r="E453" s="0" t="n">
        <v>0</v>
      </c>
      <c r="F453" s="0" t="n">
        <v>19.6300000000001</v>
      </c>
      <c r="H453" s="0" t="n">
        <v>0.3268</v>
      </c>
      <c r="J453" s="0" t="n">
        <v>17650</v>
      </c>
      <c r="K453" s="0" t="n">
        <v>5768.63</v>
      </c>
    </row>
    <row r="454" customFormat="false" ht="15" hidden="false" customHeight="false" outlineLevel="0" collapsed="false">
      <c r="A454" s="0" t="n">
        <v>2025</v>
      </c>
      <c r="B454" s="0" t="n">
        <v>9</v>
      </c>
      <c r="C454" s="0" t="s">
        <v>29</v>
      </c>
      <c r="D454" s="0" t="n">
        <v>18.71</v>
      </c>
      <c r="E454" s="0" t="n">
        <v>5980</v>
      </c>
      <c r="F454" s="0" t="n">
        <v>533.69</v>
      </c>
      <c r="H454" s="0" t="n">
        <v>0</v>
      </c>
      <c r="J454" s="0" t="n">
        <v>0</v>
      </c>
      <c r="K454" s="0" t="n">
        <v>0</v>
      </c>
    </row>
    <row r="455" customFormat="false" ht="15" hidden="false" customHeight="false" outlineLevel="0" collapsed="false">
      <c r="A455" s="0" t="n">
        <v>2025</v>
      </c>
      <c r="B455" s="0" t="n">
        <v>10</v>
      </c>
      <c r="C455" s="0" t="s">
        <v>29</v>
      </c>
      <c r="H455" s="0" t="n">
        <v>0</v>
      </c>
      <c r="J455" s="0" t="n">
        <v>0</v>
      </c>
      <c r="K455" s="0" t="n">
        <v>0</v>
      </c>
    </row>
    <row r="456" customFormat="false" ht="15" hidden="false" customHeight="false" outlineLevel="0" collapsed="false">
      <c r="A456" s="0" t="n">
        <v>2025</v>
      </c>
      <c r="B456" s="0" t="n">
        <v>11</v>
      </c>
      <c r="C456" s="0" t="s">
        <v>29</v>
      </c>
      <c r="H456" s="0" t="n">
        <v>0</v>
      </c>
      <c r="J456" s="0" t="n">
        <v>0</v>
      </c>
      <c r="K456" s="0" t="n">
        <v>0</v>
      </c>
    </row>
    <row r="457" customFormat="false" ht="15" hidden="false" customHeight="false" outlineLevel="0" collapsed="false">
      <c r="A457" s="0" t="n">
        <v>2025</v>
      </c>
      <c r="B457" s="0" t="n">
        <v>12</v>
      </c>
      <c r="C457" s="0" t="s">
        <v>29</v>
      </c>
      <c r="H457" s="0" t="n">
        <v>0</v>
      </c>
      <c r="J457" s="0" t="n">
        <v>0</v>
      </c>
      <c r="K457" s="0" t="n">
        <v>0</v>
      </c>
    </row>
    <row r="458" customFormat="false" ht="15" hidden="false" customHeight="false" outlineLevel="0" collapsed="false">
      <c r="A458" s="0" t="n">
        <v>2024</v>
      </c>
      <c r="B458" s="0" t="n">
        <v>1</v>
      </c>
      <c r="C458" s="0" t="s">
        <v>30</v>
      </c>
      <c r="D458" s="0" t="n">
        <v>0</v>
      </c>
      <c r="E458" s="0" t="n">
        <v>0</v>
      </c>
      <c r="H458" s="0" t="n">
        <v>0.2557</v>
      </c>
      <c r="J458" s="0" t="n">
        <v>64934</v>
      </c>
      <c r="K458" s="0" t="n">
        <v>16601.39</v>
      </c>
    </row>
    <row r="459" customFormat="false" ht="15" hidden="false" customHeight="false" outlineLevel="0" collapsed="false">
      <c r="A459" s="0" t="n">
        <v>2024</v>
      </c>
      <c r="B459" s="0" t="n">
        <v>2</v>
      </c>
      <c r="C459" s="0" t="s">
        <v>30</v>
      </c>
      <c r="D459" s="0" t="n">
        <v>25.11</v>
      </c>
      <c r="E459" s="0" t="n">
        <v>6018</v>
      </c>
      <c r="H459" s="0" t="n">
        <v>0.2378</v>
      </c>
      <c r="J459" s="0" t="n">
        <v>71197</v>
      </c>
      <c r="K459" s="0" t="n">
        <v>16934</v>
      </c>
    </row>
    <row r="460" customFormat="false" ht="15" hidden="false" customHeight="false" outlineLevel="0" collapsed="false">
      <c r="A460" s="0" t="n">
        <v>2024</v>
      </c>
      <c r="B460" s="0" t="n">
        <v>3</v>
      </c>
      <c r="C460" s="0" t="s">
        <v>30</v>
      </c>
      <c r="D460" s="0" t="n">
        <v>0</v>
      </c>
      <c r="E460" s="0" t="n">
        <v>0</v>
      </c>
      <c r="H460" s="0" t="n">
        <v>0.2428</v>
      </c>
      <c r="J460" s="0" t="n">
        <v>51152</v>
      </c>
      <c r="K460" s="0" t="n">
        <v>12419.74</v>
      </c>
    </row>
    <row r="461" customFormat="false" ht="15" hidden="false" customHeight="false" outlineLevel="0" collapsed="false">
      <c r="A461" s="0" t="n">
        <v>2024</v>
      </c>
      <c r="B461" s="0" t="n">
        <v>4</v>
      </c>
      <c r="C461" s="0" t="s">
        <v>30</v>
      </c>
      <c r="D461" s="0" t="n">
        <v>0</v>
      </c>
      <c r="E461" s="0" t="n">
        <v>180</v>
      </c>
      <c r="H461" s="0" t="n">
        <v>0.2416</v>
      </c>
      <c r="J461" s="0" t="n">
        <v>45316</v>
      </c>
      <c r="K461" s="0" t="n">
        <v>10948.47</v>
      </c>
    </row>
    <row r="462" customFormat="false" ht="15" hidden="false" customHeight="false" outlineLevel="0" collapsed="false">
      <c r="A462" s="0" t="n">
        <v>2024</v>
      </c>
      <c r="B462" s="0" t="n">
        <v>5</v>
      </c>
      <c r="C462" s="0" t="s">
        <v>30</v>
      </c>
      <c r="D462" s="0" t="n">
        <v>82.96</v>
      </c>
      <c r="E462" s="0" t="n">
        <v>16386</v>
      </c>
      <c r="H462" s="0" t="n">
        <v>0.2507</v>
      </c>
      <c r="J462" s="0" t="n">
        <v>51330</v>
      </c>
      <c r="K462" s="0" t="n">
        <v>12868.58</v>
      </c>
    </row>
    <row r="463" customFormat="false" ht="15" hidden="false" customHeight="false" outlineLevel="0" collapsed="false">
      <c r="A463" s="0" t="n">
        <v>2024</v>
      </c>
      <c r="B463" s="0" t="n">
        <v>6</v>
      </c>
      <c r="C463" s="0" t="s">
        <v>30</v>
      </c>
      <c r="D463" s="0" t="n">
        <v>62.68</v>
      </c>
      <c r="E463" s="0" t="n">
        <v>11200</v>
      </c>
      <c r="H463" s="0" t="n">
        <v>0.2722</v>
      </c>
      <c r="J463" s="0" t="n">
        <v>42151</v>
      </c>
      <c r="K463" s="0" t="n">
        <v>11473.9</v>
      </c>
    </row>
    <row r="464" customFormat="false" ht="15" hidden="false" customHeight="false" outlineLevel="0" collapsed="false">
      <c r="A464" s="0" t="n">
        <v>2024</v>
      </c>
      <c r="B464" s="0" t="n">
        <v>7</v>
      </c>
      <c r="C464" s="0" t="s">
        <v>30</v>
      </c>
      <c r="D464" s="0" t="n">
        <v>0</v>
      </c>
      <c r="E464" s="0" t="n">
        <v>30</v>
      </c>
      <c r="H464" s="0" t="n">
        <v>0.287</v>
      </c>
      <c r="J464" s="0" t="n">
        <v>67581</v>
      </c>
      <c r="K464" s="0" t="n">
        <v>19396.73</v>
      </c>
    </row>
    <row r="465" customFormat="false" ht="15" hidden="false" customHeight="false" outlineLevel="0" collapsed="false">
      <c r="A465" s="0" t="n">
        <v>2024</v>
      </c>
      <c r="B465" s="0" t="n">
        <v>8</v>
      </c>
      <c r="C465" s="0" t="s">
        <v>30</v>
      </c>
      <c r="D465" s="0" t="n">
        <v>29.47</v>
      </c>
      <c r="E465" s="0" t="n">
        <v>6543</v>
      </c>
      <c r="H465" s="0" t="n">
        <v>0.3047</v>
      </c>
      <c r="J465" s="0" t="n">
        <v>44796</v>
      </c>
      <c r="K465" s="0" t="n">
        <v>13651.04</v>
      </c>
    </row>
    <row r="466" customFormat="false" ht="15" hidden="false" customHeight="false" outlineLevel="0" collapsed="false">
      <c r="A466" s="0" t="n">
        <v>2024</v>
      </c>
      <c r="B466" s="0" t="n">
        <v>9</v>
      </c>
      <c r="C466" s="0" t="s">
        <v>30</v>
      </c>
      <c r="D466" s="0" t="n">
        <v>38.6</v>
      </c>
      <c r="E466" s="0" t="n">
        <v>10129</v>
      </c>
      <c r="H466" s="0" t="n">
        <v>0.2904</v>
      </c>
      <c r="J466" s="0" t="n">
        <v>52599</v>
      </c>
      <c r="K466" s="0" t="n">
        <v>15277.15</v>
      </c>
    </row>
    <row r="467" customFormat="false" ht="15" hidden="false" customHeight="false" outlineLevel="0" collapsed="false">
      <c r="A467" s="0" t="n">
        <v>2024</v>
      </c>
      <c r="B467" s="0" t="n">
        <v>10</v>
      </c>
      <c r="C467" s="0" t="s">
        <v>30</v>
      </c>
      <c r="D467" s="0" t="n">
        <v>18.75</v>
      </c>
      <c r="E467" s="0" t="n">
        <v>4893</v>
      </c>
      <c r="H467" s="0" t="n">
        <v>0.2856</v>
      </c>
      <c r="J467" s="0" t="n">
        <v>54362</v>
      </c>
      <c r="K467" s="0" t="n">
        <v>15523.99</v>
      </c>
    </row>
    <row r="468" customFormat="false" ht="15" hidden="false" customHeight="false" outlineLevel="0" collapsed="false">
      <c r="A468" s="0" t="n">
        <v>2024</v>
      </c>
      <c r="B468" s="0" t="n">
        <v>11</v>
      </c>
      <c r="C468" s="0" t="s">
        <v>30</v>
      </c>
      <c r="D468" s="0" t="n">
        <v>59.8</v>
      </c>
      <c r="E468" s="0" t="n">
        <v>13260</v>
      </c>
      <c r="F468" s="0" t="n">
        <v>466.64</v>
      </c>
      <c r="H468" s="0" t="n">
        <v>0.307</v>
      </c>
      <c r="I468" s="0" t="n">
        <v>143.25848</v>
      </c>
      <c r="J468" s="0" t="n">
        <v>64157</v>
      </c>
      <c r="K468" s="0" t="n">
        <v>19751.41</v>
      </c>
    </row>
    <row r="469" customFormat="false" ht="15" hidden="false" customHeight="false" outlineLevel="0" collapsed="false">
      <c r="A469" s="0" t="n">
        <v>2024</v>
      </c>
      <c r="B469" s="0" t="n">
        <v>12</v>
      </c>
      <c r="C469" s="0" t="s">
        <v>30</v>
      </c>
      <c r="D469" s="0" t="n">
        <v>28.8</v>
      </c>
      <c r="E469" s="0" t="n">
        <v>6188</v>
      </c>
      <c r="F469" s="0" t="n">
        <v>307.31</v>
      </c>
      <c r="H469" s="0" t="n">
        <v>0.331</v>
      </c>
      <c r="I469" s="0" t="n">
        <v>101.71961</v>
      </c>
      <c r="J469" s="0" t="n">
        <v>51593</v>
      </c>
      <c r="K469" s="0" t="n">
        <v>17063.94</v>
      </c>
    </row>
    <row r="470" customFormat="false" ht="15" hidden="false" customHeight="false" outlineLevel="0" collapsed="false">
      <c r="A470" s="0" t="n">
        <v>2025</v>
      </c>
      <c r="B470" s="0" t="n">
        <v>1</v>
      </c>
      <c r="C470" s="0" t="s">
        <v>30</v>
      </c>
      <c r="D470" s="0" t="n">
        <v>111.7</v>
      </c>
      <c r="E470" s="0" t="n">
        <v>25438</v>
      </c>
      <c r="F470" s="0" t="n">
        <v>788.06</v>
      </c>
      <c r="H470" s="0" t="n">
        <v>0.335</v>
      </c>
      <c r="I470" s="0" t="n">
        <v>264.0001</v>
      </c>
      <c r="J470" s="0" t="n">
        <v>61904</v>
      </c>
      <c r="K470" s="0" t="n">
        <v>20875.39</v>
      </c>
    </row>
    <row r="471" customFormat="false" ht="15" hidden="false" customHeight="false" outlineLevel="0" collapsed="false">
      <c r="A471" s="0" t="n">
        <v>2025</v>
      </c>
      <c r="B471" s="0" t="n">
        <v>2</v>
      </c>
      <c r="C471" s="0" t="s">
        <v>30</v>
      </c>
      <c r="D471" s="0" t="n">
        <v>18.1</v>
      </c>
      <c r="E471" s="0" t="n">
        <v>2223</v>
      </c>
      <c r="F471" s="0" t="n">
        <v>477.22</v>
      </c>
      <c r="H471" s="0" t="n">
        <v>0.334</v>
      </c>
      <c r="I471" s="0" t="n">
        <v>159.39148</v>
      </c>
      <c r="J471" s="0" t="n">
        <v>60366</v>
      </c>
      <c r="K471" s="0" t="n">
        <v>20173.7</v>
      </c>
    </row>
    <row r="472" customFormat="false" ht="15" hidden="false" customHeight="false" outlineLevel="0" collapsed="false">
      <c r="A472" s="0" t="n">
        <v>2025</v>
      </c>
      <c r="B472" s="0" t="n">
        <v>3</v>
      </c>
      <c r="C472" s="0" t="s">
        <v>30</v>
      </c>
      <c r="D472" s="0" t="n">
        <v>78.5</v>
      </c>
      <c r="E472" s="0" t="n">
        <v>11680</v>
      </c>
      <c r="F472" s="0" t="n">
        <v>934.26</v>
      </c>
      <c r="H472" s="0" t="n">
        <v>0.286</v>
      </c>
      <c r="I472" s="0" t="n">
        <v>267.19836</v>
      </c>
      <c r="J472" s="0" t="n">
        <v>58209</v>
      </c>
      <c r="K472" s="0" t="n">
        <v>16648.58</v>
      </c>
    </row>
    <row r="473" customFormat="false" ht="15" hidden="false" customHeight="false" outlineLevel="0" collapsed="false">
      <c r="A473" s="0" t="n">
        <v>2025</v>
      </c>
      <c r="B473" s="0" t="n">
        <v>4</v>
      </c>
      <c r="C473" s="0" t="s">
        <v>30</v>
      </c>
      <c r="D473" s="0" t="n">
        <v>0</v>
      </c>
      <c r="E473" s="0" t="n">
        <v>1</v>
      </c>
      <c r="F473" s="0" t="n">
        <v>233.36</v>
      </c>
      <c r="H473" s="0" t="n">
        <v>0.2655</v>
      </c>
      <c r="I473" s="0" t="n">
        <v>61.95708</v>
      </c>
      <c r="J473" s="0" t="n">
        <v>41269</v>
      </c>
      <c r="K473" s="0" t="n">
        <v>10956.7</v>
      </c>
    </row>
    <row r="474" customFormat="false" ht="15" hidden="false" customHeight="false" outlineLevel="0" collapsed="false">
      <c r="A474" s="0" t="n">
        <v>2025</v>
      </c>
      <c r="B474" s="0" t="n">
        <v>5</v>
      </c>
      <c r="C474" s="0" t="s">
        <v>30</v>
      </c>
      <c r="D474" s="0" t="n">
        <v>53.8</v>
      </c>
      <c r="E474" s="0" t="n">
        <v>13306</v>
      </c>
      <c r="F474" s="0" t="n">
        <v>470.67</v>
      </c>
      <c r="H474" s="0" t="n">
        <v>0.2575</v>
      </c>
      <c r="I474" s="0" t="n">
        <v>121.197525</v>
      </c>
      <c r="J474" s="0" t="n">
        <v>30809</v>
      </c>
      <c r="K474" s="0" t="n">
        <v>7932.95</v>
      </c>
    </row>
    <row r="475" customFormat="false" ht="15" hidden="false" customHeight="false" outlineLevel="0" collapsed="false">
      <c r="A475" s="0" t="n">
        <v>2025</v>
      </c>
      <c r="B475" s="0" t="n">
        <v>6</v>
      </c>
      <c r="C475" s="0" t="s">
        <v>30</v>
      </c>
      <c r="D475" s="0" t="n">
        <v>10.6</v>
      </c>
      <c r="E475" s="0" t="n">
        <v>3176</v>
      </c>
      <c r="F475" s="0" t="n">
        <v>217.32</v>
      </c>
      <c r="H475" s="0" t="n">
        <v>0.355</v>
      </c>
      <c r="I475" s="0" t="n">
        <v>77.1486000000001</v>
      </c>
      <c r="J475" s="0" t="n">
        <v>33644</v>
      </c>
      <c r="K475" s="0" t="n">
        <v>11949.42</v>
      </c>
    </row>
    <row r="476" customFormat="false" ht="15" hidden="false" customHeight="false" outlineLevel="0" collapsed="false">
      <c r="A476" s="0" t="n">
        <v>2025</v>
      </c>
      <c r="B476" s="0" t="n">
        <v>7</v>
      </c>
      <c r="C476" s="0" t="s">
        <v>30</v>
      </c>
      <c r="D476" s="0" t="n">
        <v>52.3</v>
      </c>
      <c r="E476" s="0" t="n">
        <v>10511</v>
      </c>
      <c r="F476" s="0" t="n">
        <v>618.55</v>
      </c>
      <c r="H476" s="0" t="n">
        <v>0.296</v>
      </c>
      <c r="I476" s="0" t="n">
        <v>183.0908</v>
      </c>
      <c r="J476" s="0" t="n">
        <v>51483</v>
      </c>
      <c r="K476" s="0" t="n">
        <v>15262.33</v>
      </c>
    </row>
    <row r="477" customFormat="false" ht="15" hidden="false" customHeight="false" outlineLevel="0" collapsed="false">
      <c r="A477" s="0" t="n">
        <v>2025</v>
      </c>
      <c r="B477" s="0" t="n">
        <v>8</v>
      </c>
      <c r="C477" s="0" t="s">
        <v>30</v>
      </c>
      <c r="D477" s="0" t="n">
        <v>32.94</v>
      </c>
      <c r="E477" s="0" t="n">
        <v>6472</v>
      </c>
      <c r="F477" s="0" t="n">
        <v>312.66</v>
      </c>
      <c r="H477" s="0" t="n">
        <v>0.3268</v>
      </c>
      <c r="I477" s="0" t="n">
        <v>102.177288</v>
      </c>
      <c r="J477" s="0" t="n">
        <v>17650</v>
      </c>
      <c r="K477" s="0" t="n">
        <v>5768.63</v>
      </c>
    </row>
    <row r="478" customFormat="false" ht="15" hidden="false" customHeight="false" outlineLevel="0" collapsed="false">
      <c r="A478" s="0" t="n">
        <v>2025</v>
      </c>
      <c r="B478" s="0" t="n">
        <v>9</v>
      </c>
      <c r="C478" s="0" t="s">
        <v>30</v>
      </c>
      <c r="D478" s="0" t="n">
        <v>87.86</v>
      </c>
      <c r="E478" s="0" t="n">
        <v>16889</v>
      </c>
      <c r="F478" s="0" t="n">
        <v>841.55</v>
      </c>
      <c r="H478" s="0" t="n">
        <v>0</v>
      </c>
      <c r="I478" s="0" t="n">
        <v>0</v>
      </c>
      <c r="J478" s="0" t="n">
        <v>0</v>
      </c>
      <c r="K478" s="0" t="n">
        <v>0</v>
      </c>
    </row>
    <row r="479" customFormat="false" ht="15" hidden="false" customHeight="false" outlineLevel="0" collapsed="false">
      <c r="A479" s="0" t="n">
        <v>2025</v>
      </c>
      <c r="B479" s="0" t="n">
        <v>10</v>
      </c>
      <c r="C479" s="0" t="s">
        <v>30</v>
      </c>
      <c r="H479" s="0" t="n">
        <v>0</v>
      </c>
      <c r="J479" s="0" t="n">
        <v>0</v>
      </c>
      <c r="K479" s="0" t="n">
        <v>0</v>
      </c>
    </row>
    <row r="480" customFormat="false" ht="15" hidden="false" customHeight="false" outlineLevel="0" collapsed="false">
      <c r="A480" s="0" t="n">
        <v>2025</v>
      </c>
      <c r="B480" s="0" t="n">
        <v>11</v>
      </c>
      <c r="C480" s="0" t="s">
        <v>30</v>
      </c>
      <c r="H480" s="0" t="n">
        <v>0</v>
      </c>
      <c r="J480" s="0" t="n">
        <v>0</v>
      </c>
      <c r="K480" s="0" t="n">
        <v>0</v>
      </c>
    </row>
    <row r="481" customFormat="false" ht="15" hidden="false" customHeight="false" outlineLevel="0" collapsed="false">
      <c r="A481" s="0" t="n">
        <v>2025</v>
      </c>
      <c r="B481" s="0" t="n">
        <v>12</v>
      </c>
      <c r="C481" s="0" t="s">
        <v>30</v>
      </c>
      <c r="H481" s="0" t="n">
        <v>0</v>
      </c>
      <c r="J481" s="0" t="n">
        <v>0</v>
      </c>
      <c r="K481" s="0" t="n">
        <v>0</v>
      </c>
    </row>
    <row r="482" customFormat="false" ht="15" hidden="false" customHeight="false" outlineLevel="0" collapsed="false">
      <c r="A482" s="0" t="n">
        <v>2024</v>
      </c>
      <c r="B482" s="0" t="n">
        <v>1</v>
      </c>
      <c r="C482" s="0" t="s">
        <v>31</v>
      </c>
      <c r="D482" s="0" t="n">
        <v>0</v>
      </c>
      <c r="E482" s="0" t="n">
        <v>0</v>
      </c>
      <c r="H482" s="0" t="n">
        <v>0.2557</v>
      </c>
      <c r="J482" s="0" t="n">
        <v>64934</v>
      </c>
      <c r="K482" s="0" t="n">
        <v>16601.39</v>
      </c>
    </row>
    <row r="483" customFormat="false" ht="15" hidden="false" customHeight="false" outlineLevel="0" collapsed="false">
      <c r="A483" s="0" t="n">
        <v>2024</v>
      </c>
      <c r="B483" s="0" t="n">
        <v>2</v>
      </c>
      <c r="C483" s="0" t="s">
        <v>31</v>
      </c>
      <c r="D483" s="0" t="n">
        <v>0</v>
      </c>
      <c r="E483" s="0" t="n">
        <v>0</v>
      </c>
      <c r="H483" s="0" t="n">
        <v>0.2378</v>
      </c>
      <c r="J483" s="0" t="n">
        <v>71197</v>
      </c>
      <c r="K483" s="0" t="n">
        <v>16934</v>
      </c>
    </row>
    <row r="484" customFormat="false" ht="15" hidden="false" customHeight="false" outlineLevel="0" collapsed="false">
      <c r="A484" s="0" t="n">
        <v>2024</v>
      </c>
      <c r="B484" s="0" t="n">
        <v>3</v>
      </c>
      <c r="C484" s="0" t="s">
        <v>31</v>
      </c>
      <c r="D484" s="0" t="n">
        <v>173.01</v>
      </c>
      <c r="E484" s="0" t="n">
        <v>23719</v>
      </c>
      <c r="H484" s="0" t="n">
        <v>0.2428</v>
      </c>
      <c r="J484" s="0" t="n">
        <v>51152</v>
      </c>
      <c r="K484" s="0" t="n">
        <v>12419.74</v>
      </c>
    </row>
    <row r="485" customFormat="false" ht="15" hidden="false" customHeight="false" outlineLevel="0" collapsed="false">
      <c r="A485" s="0" t="n">
        <v>2024</v>
      </c>
      <c r="B485" s="0" t="n">
        <v>4</v>
      </c>
      <c r="C485" s="0" t="s">
        <v>31</v>
      </c>
      <c r="D485" s="0" t="n">
        <v>106.12</v>
      </c>
      <c r="E485" s="0" t="n">
        <v>13699</v>
      </c>
      <c r="H485" s="0" t="n">
        <v>0.2416</v>
      </c>
      <c r="J485" s="0" t="n">
        <v>45316</v>
      </c>
      <c r="K485" s="0" t="n">
        <v>10948.47</v>
      </c>
    </row>
    <row r="486" customFormat="false" ht="15" hidden="false" customHeight="false" outlineLevel="0" collapsed="false">
      <c r="A486" s="0" t="n">
        <v>2024</v>
      </c>
      <c r="B486" s="0" t="n">
        <v>5</v>
      </c>
      <c r="C486" s="0" t="s">
        <v>31</v>
      </c>
      <c r="D486" s="0" t="n">
        <v>115.74</v>
      </c>
      <c r="E486" s="0" t="n">
        <v>16240</v>
      </c>
      <c r="H486" s="0" t="n">
        <v>0.2507</v>
      </c>
      <c r="J486" s="0" t="n">
        <v>51330</v>
      </c>
      <c r="K486" s="0" t="n">
        <v>12868.58</v>
      </c>
    </row>
    <row r="487" customFormat="false" ht="15" hidden="false" customHeight="false" outlineLevel="0" collapsed="false">
      <c r="A487" s="0" t="n">
        <v>2024</v>
      </c>
      <c r="B487" s="0" t="n">
        <v>6</v>
      </c>
      <c r="C487" s="0" t="s">
        <v>31</v>
      </c>
      <c r="D487" s="0" t="n">
        <v>90.61</v>
      </c>
      <c r="E487" s="0" t="n">
        <v>13345</v>
      </c>
      <c r="H487" s="0" t="n">
        <v>0.2722</v>
      </c>
      <c r="J487" s="0" t="n">
        <v>42151</v>
      </c>
      <c r="K487" s="0" t="n">
        <v>11473.9</v>
      </c>
    </row>
    <row r="488" customFormat="false" ht="15" hidden="false" customHeight="false" outlineLevel="0" collapsed="false">
      <c r="A488" s="0" t="n">
        <v>2024</v>
      </c>
      <c r="B488" s="0" t="n">
        <v>7</v>
      </c>
      <c r="C488" s="0" t="s">
        <v>31</v>
      </c>
      <c r="D488" s="0" t="n">
        <v>145.33</v>
      </c>
      <c r="E488" s="0" t="n">
        <v>22870</v>
      </c>
      <c r="H488" s="0" t="n">
        <v>0.287</v>
      </c>
      <c r="J488" s="0" t="n">
        <v>67581</v>
      </c>
      <c r="K488" s="0" t="n">
        <v>19396.73</v>
      </c>
    </row>
    <row r="489" customFormat="false" ht="15" hidden="false" customHeight="false" outlineLevel="0" collapsed="false">
      <c r="A489" s="0" t="n">
        <v>2024</v>
      </c>
      <c r="B489" s="0" t="n">
        <v>8</v>
      </c>
      <c r="C489" s="0" t="s">
        <v>31</v>
      </c>
      <c r="D489" s="0" t="n">
        <v>21.28</v>
      </c>
      <c r="E489" s="0" t="n">
        <v>3600</v>
      </c>
      <c r="H489" s="0" t="n">
        <v>0.3047</v>
      </c>
      <c r="J489" s="0" t="n">
        <v>44796</v>
      </c>
      <c r="K489" s="0" t="n">
        <v>13651.04</v>
      </c>
    </row>
    <row r="490" customFormat="false" ht="15" hidden="false" customHeight="false" outlineLevel="0" collapsed="false">
      <c r="A490" s="0" t="n">
        <v>2024</v>
      </c>
      <c r="B490" s="0" t="n">
        <v>9</v>
      </c>
      <c r="C490" s="0" t="s">
        <v>31</v>
      </c>
      <c r="D490" s="0" t="n">
        <v>0</v>
      </c>
      <c r="E490" s="0" t="n">
        <v>0</v>
      </c>
      <c r="H490" s="0" t="n">
        <v>0.2904</v>
      </c>
      <c r="J490" s="0" t="n">
        <v>52599</v>
      </c>
      <c r="K490" s="0" t="n">
        <v>15277.15</v>
      </c>
    </row>
    <row r="491" customFormat="false" ht="15" hidden="false" customHeight="false" outlineLevel="0" collapsed="false">
      <c r="A491" s="0" t="n">
        <v>2024</v>
      </c>
      <c r="B491" s="0" t="n">
        <v>10</v>
      </c>
      <c r="C491" s="0" t="s">
        <v>31</v>
      </c>
      <c r="D491" s="0" t="n">
        <v>67.45</v>
      </c>
      <c r="E491" s="0" t="n">
        <v>14522</v>
      </c>
      <c r="H491" s="0" t="n">
        <v>0.2856</v>
      </c>
      <c r="J491" s="0" t="n">
        <v>54362</v>
      </c>
      <c r="K491" s="0" t="n">
        <v>15523.99</v>
      </c>
    </row>
    <row r="492" customFormat="false" ht="15" hidden="false" customHeight="false" outlineLevel="0" collapsed="false">
      <c r="A492" s="0" t="n">
        <v>2024</v>
      </c>
      <c r="B492" s="0" t="n">
        <v>11</v>
      </c>
      <c r="C492" s="0" t="s">
        <v>31</v>
      </c>
      <c r="D492" s="0" t="n">
        <v>159.6</v>
      </c>
      <c r="E492" s="0" t="n">
        <v>18477</v>
      </c>
      <c r="F492" s="0" t="n">
        <v>1673.1</v>
      </c>
      <c r="H492" s="0" t="n">
        <v>0.307</v>
      </c>
      <c r="I492" s="0" t="n">
        <v>513.6417</v>
      </c>
      <c r="J492" s="0" t="n">
        <v>64157</v>
      </c>
      <c r="K492" s="0" t="n">
        <v>19751.41</v>
      </c>
    </row>
    <row r="493" customFormat="false" ht="15" hidden="false" customHeight="false" outlineLevel="0" collapsed="false">
      <c r="A493" s="0" t="n">
        <v>2024</v>
      </c>
      <c r="B493" s="0" t="n">
        <v>12</v>
      </c>
      <c r="C493" s="0" t="s">
        <v>31</v>
      </c>
      <c r="D493" s="0" t="n">
        <v>62.9</v>
      </c>
      <c r="E493" s="0" t="n">
        <v>21006</v>
      </c>
      <c r="F493" s="0" t="n">
        <v>892.37</v>
      </c>
      <c r="H493" s="0" t="n">
        <v>0.331</v>
      </c>
      <c r="I493" s="0" t="n">
        <v>295.37447</v>
      </c>
      <c r="J493" s="0" t="n">
        <v>51593</v>
      </c>
      <c r="K493" s="0" t="n">
        <v>17063.94</v>
      </c>
    </row>
    <row r="494" customFormat="false" ht="15" hidden="false" customHeight="false" outlineLevel="0" collapsed="false">
      <c r="A494" s="0" t="n">
        <v>2025</v>
      </c>
      <c r="B494" s="0" t="n">
        <v>1</v>
      </c>
      <c r="C494" s="0" t="s">
        <v>31</v>
      </c>
      <c r="D494" s="0" t="n">
        <v>141.2</v>
      </c>
      <c r="E494" s="0" t="n">
        <v>23440</v>
      </c>
      <c r="F494" s="0" t="n">
        <v>1509.09</v>
      </c>
      <c r="H494" s="0" t="n">
        <v>0.335</v>
      </c>
      <c r="I494" s="0" t="n">
        <v>505.54515</v>
      </c>
      <c r="J494" s="0" t="n">
        <v>61904</v>
      </c>
      <c r="K494" s="0" t="n">
        <v>20875.39</v>
      </c>
    </row>
    <row r="495" customFormat="false" ht="15" hidden="false" customHeight="false" outlineLevel="0" collapsed="false">
      <c r="A495" s="0" t="n">
        <v>2025</v>
      </c>
      <c r="B495" s="0" t="n">
        <v>2</v>
      </c>
      <c r="C495" s="0" t="s">
        <v>31</v>
      </c>
      <c r="D495" s="0" t="n">
        <v>202</v>
      </c>
      <c r="E495" s="0" t="n">
        <v>38160</v>
      </c>
      <c r="F495" s="0" t="n">
        <v>2323.88</v>
      </c>
      <c r="H495" s="0" t="n">
        <v>0.334</v>
      </c>
      <c r="I495" s="0" t="n">
        <v>776.17592</v>
      </c>
      <c r="J495" s="0" t="n">
        <v>60366</v>
      </c>
      <c r="K495" s="0" t="n">
        <v>20173.7</v>
      </c>
    </row>
    <row r="496" customFormat="false" ht="15" hidden="false" customHeight="false" outlineLevel="0" collapsed="false">
      <c r="A496" s="0" t="n">
        <v>2025</v>
      </c>
      <c r="B496" s="0" t="n">
        <v>3</v>
      </c>
      <c r="C496" s="0" t="s">
        <v>31</v>
      </c>
      <c r="D496" s="0" t="n">
        <v>115.5</v>
      </c>
      <c r="E496" s="0" t="n">
        <v>13390</v>
      </c>
      <c r="F496" s="0" t="n">
        <v>1366.18</v>
      </c>
      <c r="H496" s="0" t="n">
        <v>0.286</v>
      </c>
      <c r="I496" s="0" t="n">
        <v>390.72748</v>
      </c>
      <c r="J496" s="0" t="n">
        <v>58209</v>
      </c>
      <c r="K496" s="0" t="n">
        <v>16648.58</v>
      </c>
    </row>
    <row r="497" customFormat="false" ht="15" hidden="false" customHeight="false" outlineLevel="0" collapsed="false">
      <c r="A497" s="0" t="n">
        <v>2025</v>
      </c>
      <c r="B497" s="0" t="n">
        <v>4</v>
      </c>
      <c r="C497" s="0" t="s">
        <v>31</v>
      </c>
      <c r="D497" s="0" t="n">
        <v>48.3</v>
      </c>
      <c r="E497" s="0" t="n">
        <v>15990</v>
      </c>
      <c r="F497" s="0" t="n">
        <v>831.130000000001</v>
      </c>
      <c r="H497" s="0" t="n">
        <v>0.2655</v>
      </c>
      <c r="I497" s="0" t="n">
        <v>220.665015</v>
      </c>
      <c r="J497" s="0" t="n">
        <v>41269</v>
      </c>
      <c r="K497" s="0" t="n">
        <v>10956.7</v>
      </c>
    </row>
    <row r="498" customFormat="false" ht="15" hidden="false" customHeight="false" outlineLevel="0" collapsed="false">
      <c r="A498" s="0" t="n">
        <v>2025</v>
      </c>
      <c r="B498" s="0" t="n">
        <v>5</v>
      </c>
      <c r="C498" s="0" t="s">
        <v>31</v>
      </c>
      <c r="D498" s="0" t="n">
        <v>6.5</v>
      </c>
      <c r="E498" s="0" t="n">
        <v>6160</v>
      </c>
      <c r="F498" s="0" t="n">
        <v>320.41</v>
      </c>
      <c r="H498" s="0" t="n">
        <v>0.2575</v>
      </c>
      <c r="I498" s="0" t="n">
        <v>82.505575</v>
      </c>
      <c r="J498" s="0" t="n">
        <v>30809</v>
      </c>
      <c r="K498" s="0" t="n">
        <v>7932.95</v>
      </c>
    </row>
    <row r="499" customFormat="false" ht="15" hidden="false" customHeight="false" outlineLevel="0" collapsed="false">
      <c r="A499" s="0" t="n">
        <v>2025</v>
      </c>
      <c r="B499" s="0" t="n">
        <v>6</v>
      </c>
      <c r="C499" s="0" t="s">
        <v>31</v>
      </c>
      <c r="D499" s="0" t="n">
        <v>0</v>
      </c>
      <c r="E499" s="0" t="n">
        <v>0</v>
      </c>
      <c r="F499" s="0" t="n">
        <v>473.18</v>
      </c>
      <c r="H499" s="0" t="n">
        <v>0.355</v>
      </c>
      <c r="I499" s="0" t="n">
        <v>167.9789</v>
      </c>
      <c r="J499" s="0" t="n">
        <v>33644</v>
      </c>
      <c r="K499" s="0" t="n">
        <v>11949.42</v>
      </c>
    </row>
    <row r="500" customFormat="false" ht="15" hidden="false" customHeight="false" outlineLevel="0" collapsed="false">
      <c r="A500" s="0" t="n">
        <v>2025</v>
      </c>
      <c r="B500" s="0" t="n">
        <v>7</v>
      </c>
      <c r="C500" s="0" t="s">
        <v>31</v>
      </c>
      <c r="D500" s="0" t="n">
        <v>0</v>
      </c>
      <c r="E500" s="0" t="n">
        <v>0</v>
      </c>
      <c r="F500" s="0" t="n">
        <v>27.5900000000002</v>
      </c>
      <c r="H500" s="0" t="n">
        <v>0.296</v>
      </c>
      <c r="I500" s="0" t="n">
        <v>8.16664000000004</v>
      </c>
      <c r="J500" s="0" t="n">
        <v>51483</v>
      </c>
      <c r="K500" s="0" t="n">
        <v>15262.33</v>
      </c>
    </row>
    <row r="501" customFormat="false" ht="15" hidden="false" customHeight="false" outlineLevel="0" collapsed="false">
      <c r="A501" s="0" t="n">
        <v>2025</v>
      </c>
      <c r="B501" s="0" t="n">
        <v>8</v>
      </c>
      <c r="C501" s="0" t="s">
        <v>31</v>
      </c>
      <c r="D501" s="0" t="n">
        <v>17.82</v>
      </c>
      <c r="E501" s="0" t="n">
        <v>2126</v>
      </c>
      <c r="F501" s="0" t="n">
        <v>130.530000000001</v>
      </c>
      <c r="H501" s="0" t="n">
        <v>0.3268</v>
      </c>
      <c r="I501" s="0" t="n">
        <v>42.6572040000002</v>
      </c>
      <c r="J501" s="0" t="n">
        <v>17650</v>
      </c>
      <c r="K501" s="0" t="n">
        <v>5768.63</v>
      </c>
    </row>
    <row r="502" customFormat="false" ht="15" hidden="false" customHeight="false" outlineLevel="0" collapsed="false">
      <c r="A502" s="0" t="n">
        <v>2025</v>
      </c>
      <c r="B502" s="0" t="n">
        <v>9</v>
      </c>
      <c r="C502" s="0" t="s">
        <v>31</v>
      </c>
      <c r="D502" s="0" t="n">
        <v>68.19</v>
      </c>
      <c r="E502" s="0" t="n">
        <v>10152</v>
      </c>
      <c r="F502" s="0" t="n">
        <v>433.029999999999</v>
      </c>
      <c r="H502" s="0" t="n">
        <v>0</v>
      </c>
      <c r="I502" s="0" t="n">
        <v>0</v>
      </c>
      <c r="J502" s="0" t="n">
        <v>0</v>
      </c>
      <c r="K502" s="0" t="n">
        <v>0</v>
      </c>
    </row>
    <row r="503" customFormat="false" ht="15" hidden="false" customHeight="false" outlineLevel="0" collapsed="false">
      <c r="A503" s="0" t="n">
        <v>2025</v>
      </c>
      <c r="B503" s="0" t="n">
        <v>10</v>
      </c>
      <c r="C503" s="0" t="s">
        <v>31</v>
      </c>
      <c r="H503" s="0" t="n">
        <v>0</v>
      </c>
      <c r="J503" s="0" t="n">
        <v>0</v>
      </c>
      <c r="K503" s="0" t="n">
        <v>0</v>
      </c>
    </row>
    <row r="504" customFormat="false" ht="15" hidden="false" customHeight="false" outlineLevel="0" collapsed="false">
      <c r="A504" s="0" t="n">
        <v>2025</v>
      </c>
      <c r="B504" s="0" t="n">
        <v>11</v>
      </c>
      <c r="C504" s="0" t="s">
        <v>31</v>
      </c>
      <c r="H504" s="0" t="n">
        <v>0</v>
      </c>
      <c r="J504" s="0" t="n">
        <v>0</v>
      </c>
      <c r="K504" s="0" t="n">
        <v>0</v>
      </c>
    </row>
    <row r="505" customFormat="false" ht="15" hidden="false" customHeight="false" outlineLevel="0" collapsed="false">
      <c r="A505" s="0" t="n">
        <v>2025</v>
      </c>
      <c r="B505" s="0" t="n">
        <v>12</v>
      </c>
      <c r="C505" s="0" t="s">
        <v>31</v>
      </c>
      <c r="H505" s="0" t="n">
        <v>0</v>
      </c>
      <c r="J505" s="0" t="n">
        <v>0</v>
      </c>
      <c r="K505" s="0" t="n">
        <v>0</v>
      </c>
    </row>
    <row r="506" customFormat="false" ht="15" hidden="false" customHeight="false" outlineLevel="0" collapsed="false">
      <c r="A506" s="0" t="n">
        <v>2024</v>
      </c>
      <c r="B506" s="0" t="n">
        <v>1</v>
      </c>
      <c r="C506" s="0" t="s">
        <v>32</v>
      </c>
      <c r="D506" s="0" t="n">
        <v>43.99</v>
      </c>
      <c r="E506" s="0" t="n">
        <v>8052</v>
      </c>
      <c r="H506" s="0" t="n">
        <v>0.2557</v>
      </c>
      <c r="J506" s="0" t="n">
        <v>64934</v>
      </c>
      <c r="K506" s="0" t="n">
        <v>16601.39</v>
      </c>
    </row>
    <row r="507" customFormat="false" ht="15" hidden="false" customHeight="false" outlineLevel="0" collapsed="false">
      <c r="A507" s="0" t="n">
        <v>2024</v>
      </c>
      <c r="B507" s="0" t="n">
        <v>2</v>
      </c>
      <c r="C507" s="0" t="s">
        <v>32</v>
      </c>
      <c r="D507" s="0" t="n">
        <v>0</v>
      </c>
      <c r="E507" s="0" t="n">
        <v>0</v>
      </c>
      <c r="H507" s="0" t="n">
        <v>0.2378</v>
      </c>
      <c r="J507" s="0" t="n">
        <v>71197</v>
      </c>
      <c r="K507" s="0" t="n">
        <v>16934</v>
      </c>
    </row>
    <row r="508" customFormat="false" ht="15" hidden="false" customHeight="false" outlineLevel="0" collapsed="false">
      <c r="A508" s="0" t="n">
        <v>2024</v>
      </c>
      <c r="B508" s="0" t="n">
        <v>3</v>
      </c>
      <c r="C508" s="0" t="s">
        <v>32</v>
      </c>
      <c r="D508" s="0" t="n">
        <v>30.36</v>
      </c>
      <c r="E508" s="0" t="n">
        <v>6072</v>
      </c>
      <c r="H508" s="0" t="n">
        <v>0.2428</v>
      </c>
      <c r="J508" s="0" t="n">
        <v>51152</v>
      </c>
      <c r="K508" s="0" t="n">
        <v>12419.74</v>
      </c>
    </row>
    <row r="509" customFormat="false" ht="15" hidden="false" customHeight="false" outlineLevel="0" collapsed="false">
      <c r="A509" s="0" t="n">
        <v>2024</v>
      </c>
      <c r="B509" s="0" t="n">
        <v>4</v>
      </c>
      <c r="C509" s="0" t="s">
        <v>32</v>
      </c>
      <c r="D509" s="0" t="n">
        <v>35.54</v>
      </c>
      <c r="E509" s="0" t="n">
        <v>6053</v>
      </c>
      <c r="H509" s="0" t="n">
        <v>0.2416</v>
      </c>
      <c r="J509" s="0" t="n">
        <v>45316</v>
      </c>
      <c r="K509" s="0" t="n">
        <v>10948.47</v>
      </c>
    </row>
    <row r="510" customFormat="false" ht="15" hidden="false" customHeight="false" outlineLevel="0" collapsed="false">
      <c r="A510" s="0" t="n">
        <v>2024</v>
      </c>
      <c r="B510" s="0" t="n">
        <v>5</v>
      </c>
      <c r="C510" s="0" t="s">
        <v>32</v>
      </c>
      <c r="D510" s="0" t="n">
        <v>48.19</v>
      </c>
      <c r="E510" s="0" t="n">
        <v>8980</v>
      </c>
      <c r="H510" s="0" t="n">
        <v>0.2507</v>
      </c>
      <c r="J510" s="0" t="n">
        <v>51330</v>
      </c>
      <c r="K510" s="0" t="n">
        <v>12868.58</v>
      </c>
    </row>
    <row r="511" customFormat="false" ht="15" hidden="false" customHeight="false" outlineLevel="0" collapsed="false">
      <c r="A511" s="0" t="n">
        <v>2024</v>
      </c>
      <c r="B511" s="0" t="n">
        <v>6</v>
      </c>
      <c r="C511" s="0" t="s">
        <v>32</v>
      </c>
      <c r="D511" s="0" t="n">
        <v>0</v>
      </c>
      <c r="E511" s="0" t="n">
        <v>0</v>
      </c>
      <c r="H511" s="0" t="n">
        <v>0.2722</v>
      </c>
      <c r="J511" s="0" t="n">
        <v>42151</v>
      </c>
      <c r="K511" s="0" t="n">
        <v>11473.9</v>
      </c>
    </row>
    <row r="512" customFormat="false" ht="15" hidden="false" customHeight="false" outlineLevel="0" collapsed="false">
      <c r="A512" s="0" t="n">
        <v>2024</v>
      </c>
      <c r="B512" s="0" t="n">
        <v>7</v>
      </c>
      <c r="C512" s="0" t="s">
        <v>32</v>
      </c>
      <c r="D512" s="0" t="n">
        <v>0</v>
      </c>
      <c r="E512" s="0" t="n">
        <v>0</v>
      </c>
      <c r="H512" s="0" t="n">
        <v>0.287</v>
      </c>
      <c r="J512" s="0" t="n">
        <v>67581</v>
      </c>
      <c r="K512" s="0" t="n">
        <v>19396.73</v>
      </c>
    </row>
    <row r="513" customFormat="false" ht="15" hidden="false" customHeight="false" outlineLevel="0" collapsed="false">
      <c r="A513" s="0" t="n">
        <v>2024</v>
      </c>
      <c r="B513" s="0" t="n">
        <v>8</v>
      </c>
      <c r="C513" s="0" t="s">
        <v>32</v>
      </c>
      <c r="D513" s="0" t="n">
        <v>0</v>
      </c>
      <c r="E513" s="0" t="n">
        <v>0</v>
      </c>
      <c r="H513" s="0" t="n">
        <v>0.3047</v>
      </c>
      <c r="J513" s="0" t="n">
        <v>44796</v>
      </c>
      <c r="K513" s="0" t="n">
        <v>13651.04</v>
      </c>
    </row>
    <row r="514" customFormat="false" ht="15" hidden="false" customHeight="false" outlineLevel="0" collapsed="false">
      <c r="A514" s="0" t="n">
        <v>2024</v>
      </c>
      <c r="B514" s="0" t="n">
        <v>9</v>
      </c>
      <c r="C514" s="0" t="s">
        <v>32</v>
      </c>
      <c r="D514" s="0" t="n">
        <v>0</v>
      </c>
      <c r="E514" s="0" t="n">
        <v>0</v>
      </c>
      <c r="H514" s="0" t="n">
        <v>0.2904</v>
      </c>
      <c r="J514" s="0" t="n">
        <v>52599</v>
      </c>
      <c r="K514" s="0" t="n">
        <v>15277.15</v>
      </c>
    </row>
    <row r="515" customFormat="false" ht="15" hidden="false" customHeight="false" outlineLevel="0" collapsed="false">
      <c r="A515" s="0" t="n">
        <v>2024</v>
      </c>
      <c r="B515" s="0" t="n">
        <v>10</v>
      </c>
      <c r="C515" s="0" t="s">
        <v>32</v>
      </c>
      <c r="D515" s="0" t="n">
        <v>0</v>
      </c>
      <c r="E515" s="0" t="n">
        <v>0</v>
      </c>
      <c r="H515" s="0" t="n">
        <v>0.2856</v>
      </c>
      <c r="J515" s="0" t="n">
        <v>54362</v>
      </c>
      <c r="K515" s="0" t="n">
        <v>15523.99</v>
      </c>
    </row>
    <row r="516" customFormat="false" ht="15" hidden="false" customHeight="false" outlineLevel="0" collapsed="false">
      <c r="A516" s="0" t="n">
        <v>2024</v>
      </c>
      <c r="B516" s="0" t="n">
        <v>11</v>
      </c>
      <c r="C516" s="0" t="s">
        <v>32</v>
      </c>
      <c r="D516" s="0" t="n">
        <v>0</v>
      </c>
      <c r="E516" s="0" t="n">
        <v>0</v>
      </c>
      <c r="F516" s="0" t="n">
        <v>64.75</v>
      </c>
      <c r="H516" s="0" t="n">
        <v>0.307</v>
      </c>
      <c r="I516" s="0" t="n">
        <v>19.87825</v>
      </c>
      <c r="J516" s="0" t="n">
        <v>64157</v>
      </c>
      <c r="K516" s="0" t="n">
        <v>19751.41</v>
      </c>
    </row>
    <row r="517" customFormat="false" ht="15" hidden="false" customHeight="false" outlineLevel="0" collapsed="false">
      <c r="A517" s="0" t="n">
        <v>2024</v>
      </c>
      <c r="B517" s="0" t="n">
        <v>12</v>
      </c>
      <c r="C517" s="0" t="s">
        <v>32</v>
      </c>
      <c r="D517" s="0" t="n">
        <v>0</v>
      </c>
      <c r="E517" s="0" t="n">
        <v>0</v>
      </c>
      <c r="F517" s="0" t="n">
        <v>36.83</v>
      </c>
      <c r="H517" s="0" t="n">
        <v>0.331</v>
      </c>
      <c r="I517" s="0" t="n">
        <v>12.19073</v>
      </c>
      <c r="J517" s="0" t="n">
        <v>51593</v>
      </c>
      <c r="K517" s="0" t="n">
        <v>17063.94</v>
      </c>
    </row>
    <row r="518" customFormat="false" ht="15" hidden="false" customHeight="false" outlineLevel="0" collapsed="false">
      <c r="A518" s="0" t="n">
        <v>2025</v>
      </c>
      <c r="B518" s="0" t="n">
        <v>1</v>
      </c>
      <c r="C518" s="0" t="s">
        <v>32</v>
      </c>
      <c r="D518" s="0" t="n">
        <v>36.8</v>
      </c>
      <c r="E518" s="0" t="n">
        <v>16048</v>
      </c>
      <c r="F518" s="0" t="n">
        <v>1193.38</v>
      </c>
      <c r="H518" s="0" t="n">
        <v>0.335</v>
      </c>
      <c r="I518" s="0" t="n">
        <v>399.7823</v>
      </c>
      <c r="J518" s="0" t="n">
        <v>61904</v>
      </c>
      <c r="K518" s="0" t="n">
        <v>20875.39</v>
      </c>
    </row>
    <row r="519" customFormat="false" ht="15" hidden="false" customHeight="false" outlineLevel="0" collapsed="false">
      <c r="A519" s="0" t="n">
        <v>2025</v>
      </c>
      <c r="B519" s="0" t="n">
        <v>2</v>
      </c>
      <c r="C519" s="0" t="s">
        <v>32</v>
      </c>
      <c r="D519" s="0" t="n">
        <v>69.6</v>
      </c>
      <c r="E519" s="0" t="n">
        <v>28795</v>
      </c>
      <c r="F519" s="0" t="n">
        <v>1507.61</v>
      </c>
      <c r="H519" s="0" t="n">
        <v>0.334</v>
      </c>
      <c r="I519" s="0" t="n">
        <v>503.54174</v>
      </c>
      <c r="J519" s="0" t="n">
        <v>60366</v>
      </c>
      <c r="K519" s="0" t="n">
        <v>20173.7</v>
      </c>
    </row>
    <row r="520" customFormat="false" ht="15" hidden="false" customHeight="false" outlineLevel="0" collapsed="false">
      <c r="A520" s="0" t="n">
        <v>2025</v>
      </c>
      <c r="B520" s="0" t="n">
        <v>3</v>
      </c>
      <c r="C520" s="0" t="s">
        <v>32</v>
      </c>
      <c r="D520" s="0" t="n">
        <v>0</v>
      </c>
      <c r="E520" s="0" t="n">
        <v>0</v>
      </c>
      <c r="F520" s="0" t="n">
        <v>0</v>
      </c>
      <c r="H520" s="0" t="n">
        <v>0.286</v>
      </c>
      <c r="I520" s="0" t="n">
        <v>0</v>
      </c>
      <c r="J520" s="0" t="n">
        <v>58209</v>
      </c>
      <c r="K520" s="0" t="n">
        <v>16648.58</v>
      </c>
    </row>
    <row r="521" customFormat="false" ht="15" hidden="false" customHeight="false" outlineLevel="0" collapsed="false">
      <c r="A521" s="0" t="n">
        <v>2025</v>
      </c>
      <c r="B521" s="0" t="n">
        <v>4</v>
      </c>
      <c r="C521" s="0" t="s">
        <v>32</v>
      </c>
      <c r="D521" s="0" t="n">
        <v>0</v>
      </c>
      <c r="E521" s="0" t="n">
        <v>0</v>
      </c>
      <c r="F521" s="0" t="n">
        <v>0</v>
      </c>
      <c r="H521" s="0" t="n">
        <v>0.2655</v>
      </c>
      <c r="I521" s="0" t="n">
        <v>0</v>
      </c>
      <c r="J521" s="0" t="n">
        <v>41269</v>
      </c>
      <c r="K521" s="0" t="n">
        <v>10956.7</v>
      </c>
    </row>
    <row r="522" customFormat="false" ht="15" hidden="false" customHeight="false" outlineLevel="0" collapsed="false">
      <c r="A522" s="0" t="n">
        <v>2025</v>
      </c>
      <c r="B522" s="0" t="n">
        <v>5</v>
      </c>
      <c r="C522" s="0" t="s">
        <v>32</v>
      </c>
      <c r="D522" s="0" t="n">
        <v>0</v>
      </c>
      <c r="E522" s="0" t="n">
        <v>0</v>
      </c>
      <c r="F522" s="0" t="n">
        <v>0</v>
      </c>
      <c r="H522" s="0" t="n">
        <v>0.2575</v>
      </c>
      <c r="I522" s="0" t="n">
        <v>0</v>
      </c>
      <c r="J522" s="0" t="n">
        <v>30809</v>
      </c>
      <c r="K522" s="0" t="n">
        <v>7932.95</v>
      </c>
    </row>
    <row r="523" customFormat="false" ht="15" hidden="false" customHeight="false" outlineLevel="0" collapsed="false">
      <c r="A523" s="0" t="n">
        <v>2025</v>
      </c>
      <c r="B523" s="0" t="n">
        <v>6</v>
      </c>
      <c r="C523" s="0" t="s">
        <v>32</v>
      </c>
      <c r="D523" s="0" t="n">
        <v>0</v>
      </c>
      <c r="E523" s="0" t="n">
        <v>0</v>
      </c>
      <c r="F523" s="0" t="n">
        <v>0</v>
      </c>
      <c r="H523" s="0" t="n">
        <v>0.355</v>
      </c>
      <c r="I523" s="0" t="n">
        <v>0</v>
      </c>
      <c r="J523" s="0" t="n">
        <v>33644</v>
      </c>
      <c r="K523" s="0" t="n">
        <v>11949.42</v>
      </c>
    </row>
    <row r="524" customFormat="false" ht="15" hidden="false" customHeight="false" outlineLevel="0" collapsed="false">
      <c r="A524" s="0" t="n">
        <v>2025</v>
      </c>
      <c r="B524" s="0" t="n">
        <v>7</v>
      </c>
      <c r="C524" s="0" t="s">
        <v>32</v>
      </c>
      <c r="D524" s="0" t="n">
        <v>0</v>
      </c>
      <c r="E524" s="0" t="n">
        <v>0</v>
      </c>
      <c r="F524" s="0" t="n">
        <v>0</v>
      </c>
      <c r="H524" s="0" t="n">
        <v>0.296</v>
      </c>
      <c r="I524" s="0" t="n">
        <v>0</v>
      </c>
      <c r="J524" s="0" t="n">
        <v>51483</v>
      </c>
      <c r="K524" s="0" t="n">
        <v>15262.33</v>
      </c>
    </row>
    <row r="525" customFormat="false" ht="15" hidden="false" customHeight="false" outlineLevel="0" collapsed="false">
      <c r="A525" s="0" t="n">
        <v>2025</v>
      </c>
      <c r="B525" s="0" t="n">
        <v>8</v>
      </c>
      <c r="C525" s="0" t="s">
        <v>32</v>
      </c>
      <c r="D525" s="0" t="n">
        <v>0</v>
      </c>
      <c r="E525" s="0" t="n">
        <v>0</v>
      </c>
      <c r="F525" s="0" t="n">
        <v>0</v>
      </c>
      <c r="H525" s="0" t="n">
        <v>0.3268</v>
      </c>
      <c r="I525" s="0" t="n">
        <v>0</v>
      </c>
      <c r="J525" s="0" t="n">
        <v>17650</v>
      </c>
      <c r="K525" s="0" t="n">
        <v>5768.63</v>
      </c>
    </row>
    <row r="526" customFormat="false" ht="15" hidden="false" customHeight="false" outlineLevel="0" collapsed="false">
      <c r="A526" s="0" t="n">
        <v>2025</v>
      </c>
      <c r="B526" s="0" t="n">
        <v>9</v>
      </c>
      <c r="C526" s="0" t="s">
        <v>32</v>
      </c>
      <c r="D526" s="0" t="n">
        <v>0</v>
      </c>
      <c r="E526" s="0" t="n">
        <v>0</v>
      </c>
      <c r="F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</row>
    <row r="527" customFormat="false" ht="15" hidden="false" customHeight="false" outlineLevel="0" collapsed="false">
      <c r="A527" s="0" t="n">
        <v>2025</v>
      </c>
      <c r="B527" s="0" t="n">
        <v>10</v>
      </c>
      <c r="C527" s="0" t="s">
        <v>32</v>
      </c>
      <c r="H527" s="0" t="n">
        <v>0</v>
      </c>
      <c r="J527" s="0" t="n">
        <v>0</v>
      </c>
      <c r="K527" s="0" t="n">
        <v>0</v>
      </c>
    </row>
    <row r="528" customFormat="false" ht="15" hidden="false" customHeight="false" outlineLevel="0" collapsed="false">
      <c r="A528" s="0" t="n">
        <v>2025</v>
      </c>
      <c r="B528" s="0" t="n">
        <v>11</v>
      </c>
      <c r="C528" s="0" t="s">
        <v>32</v>
      </c>
      <c r="H528" s="0" t="n">
        <v>0</v>
      </c>
      <c r="J528" s="0" t="n">
        <v>0</v>
      </c>
      <c r="K528" s="0" t="n">
        <v>0</v>
      </c>
    </row>
    <row r="529" customFormat="false" ht="15" hidden="false" customHeight="false" outlineLevel="0" collapsed="false">
      <c r="A529" s="0" t="n">
        <v>2025</v>
      </c>
      <c r="B529" s="0" t="n">
        <v>12</v>
      </c>
      <c r="C529" s="0" t="s">
        <v>32</v>
      </c>
      <c r="H529" s="0" t="n">
        <v>0</v>
      </c>
      <c r="J529" s="0" t="n">
        <v>0</v>
      </c>
      <c r="K529" s="0" t="n">
        <v>0</v>
      </c>
    </row>
    <row r="530" customFormat="false" ht="15" hidden="false" customHeight="false" outlineLevel="0" collapsed="false">
      <c r="A530" s="0" t="n">
        <v>2024</v>
      </c>
      <c r="B530" s="0" t="n">
        <v>1</v>
      </c>
      <c r="C530" s="0" t="s">
        <v>33</v>
      </c>
      <c r="D530" s="0" t="n">
        <v>24.19</v>
      </c>
      <c r="E530" s="0" t="n">
        <v>22000</v>
      </c>
      <c r="H530" s="0" t="n">
        <v>0.2557</v>
      </c>
      <c r="J530" s="0" t="n">
        <v>64934</v>
      </c>
      <c r="K530" s="0" t="n">
        <v>16601.39</v>
      </c>
    </row>
    <row r="531" customFormat="false" ht="15" hidden="false" customHeight="false" outlineLevel="0" collapsed="false">
      <c r="A531" s="0" t="n">
        <v>2024</v>
      </c>
      <c r="B531" s="0" t="n">
        <v>2</v>
      </c>
      <c r="C531" s="0" t="s">
        <v>33</v>
      </c>
      <c r="D531" s="0" t="n">
        <v>120.67</v>
      </c>
      <c r="E531" s="0" t="n">
        <v>80390</v>
      </c>
      <c r="H531" s="0" t="n">
        <v>0.2378</v>
      </c>
      <c r="J531" s="0" t="n">
        <v>71197</v>
      </c>
      <c r="K531" s="0" t="n">
        <v>16934</v>
      </c>
    </row>
    <row r="532" customFormat="false" ht="15" hidden="false" customHeight="false" outlineLevel="0" collapsed="false">
      <c r="A532" s="0" t="n">
        <v>2024</v>
      </c>
      <c r="B532" s="0" t="n">
        <v>3</v>
      </c>
      <c r="C532" s="0" t="s">
        <v>33</v>
      </c>
      <c r="D532" s="0" t="n">
        <v>108.02</v>
      </c>
      <c r="E532" s="0" t="n">
        <v>65908</v>
      </c>
      <c r="H532" s="0" t="n">
        <v>0.2428</v>
      </c>
      <c r="J532" s="0" t="n">
        <v>51152</v>
      </c>
      <c r="K532" s="0" t="n">
        <v>12419.74</v>
      </c>
    </row>
    <row r="533" customFormat="false" ht="15" hidden="false" customHeight="false" outlineLevel="0" collapsed="false">
      <c r="A533" s="0" t="n">
        <v>2024</v>
      </c>
      <c r="B533" s="0" t="n">
        <v>4</v>
      </c>
      <c r="C533" s="0" t="s">
        <v>33</v>
      </c>
      <c r="D533" s="0" t="n">
        <v>23.13</v>
      </c>
      <c r="E533" s="0" t="n">
        <v>14810</v>
      </c>
      <c r="H533" s="0" t="n">
        <v>0.2416</v>
      </c>
      <c r="J533" s="0" t="n">
        <v>45316</v>
      </c>
      <c r="K533" s="0" t="n">
        <v>10948.47</v>
      </c>
    </row>
    <row r="534" customFormat="false" ht="15" hidden="false" customHeight="false" outlineLevel="0" collapsed="false">
      <c r="A534" s="0" t="n">
        <v>2024</v>
      </c>
      <c r="B534" s="0" t="n">
        <v>5</v>
      </c>
      <c r="C534" s="0" t="s">
        <v>33</v>
      </c>
      <c r="D534" s="0" t="n">
        <v>27.31</v>
      </c>
      <c r="E534" s="0" t="n">
        <v>20716</v>
      </c>
      <c r="H534" s="0" t="n">
        <v>0.2507</v>
      </c>
      <c r="J534" s="0" t="n">
        <v>51330</v>
      </c>
      <c r="K534" s="0" t="n">
        <v>12868.58</v>
      </c>
    </row>
    <row r="535" customFormat="false" ht="15" hidden="false" customHeight="false" outlineLevel="0" collapsed="false">
      <c r="A535" s="0" t="n">
        <v>2024</v>
      </c>
      <c r="B535" s="0" t="n">
        <v>6</v>
      </c>
      <c r="C535" s="0" t="s">
        <v>33</v>
      </c>
      <c r="D535" s="0" t="n">
        <v>40.33</v>
      </c>
      <c r="E535" s="0" t="n">
        <v>31850</v>
      </c>
      <c r="H535" s="0" t="n">
        <v>0.2722</v>
      </c>
      <c r="J535" s="0" t="n">
        <v>42151</v>
      </c>
      <c r="K535" s="0" t="n">
        <v>11473.9</v>
      </c>
    </row>
    <row r="536" customFormat="false" ht="15" hidden="false" customHeight="false" outlineLevel="0" collapsed="false">
      <c r="A536" s="0" t="n">
        <v>2024</v>
      </c>
      <c r="B536" s="0" t="n">
        <v>7</v>
      </c>
      <c r="C536" s="0" t="s">
        <v>33</v>
      </c>
      <c r="D536" s="0" t="n">
        <v>62.54</v>
      </c>
      <c r="E536" s="0" t="n">
        <v>50800</v>
      </c>
      <c r="H536" s="0" t="n">
        <v>0.287</v>
      </c>
      <c r="J536" s="0" t="n">
        <v>67581</v>
      </c>
      <c r="K536" s="0" t="n">
        <v>19396.73</v>
      </c>
    </row>
    <row r="537" customFormat="false" ht="15" hidden="false" customHeight="false" outlineLevel="0" collapsed="false">
      <c r="A537" s="0" t="n">
        <v>2024</v>
      </c>
      <c r="B537" s="0" t="n">
        <v>8</v>
      </c>
      <c r="C537" s="0" t="s">
        <v>33</v>
      </c>
      <c r="D537" s="0" t="n">
        <v>10.52</v>
      </c>
      <c r="E537" s="0" t="n">
        <v>7880</v>
      </c>
      <c r="H537" s="0" t="n">
        <v>0.3047</v>
      </c>
      <c r="J537" s="0" t="n">
        <v>44796</v>
      </c>
      <c r="K537" s="0" t="n">
        <v>13651.04</v>
      </c>
    </row>
    <row r="538" customFormat="false" ht="15" hidden="false" customHeight="false" outlineLevel="0" collapsed="false">
      <c r="A538" s="0" t="n">
        <v>2024</v>
      </c>
      <c r="B538" s="0" t="n">
        <v>9</v>
      </c>
      <c r="C538" s="0" t="s">
        <v>33</v>
      </c>
      <c r="D538" s="0" t="n">
        <v>149.08</v>
      </c>
      <c r="E538" s="0" t="n">
        <v>97414</v>
      </c>
      <c r="H538" s="0" t="n">
        <v>0.2904</v>
      </c>
      <c r="J538" s="0" t="n">
        <v>52599</v>
      </c>
      <c r="K538" s="0" t="n">
        <v>15277.15</v>
      </c>
    </row>
    <row r="539" customFormat="false" ht="15" hidden="false" customHeight="false" outlineLevel="0" collapsed="false">
      <c r="A539" s="0" t="n">
        <v>2024</v>
      </c>
      <c r="B539" s="0" t="n">
        <v>10</v>
      </c>
      <c r="C539" s="0" t="s">
        <v>33</v>
      </c>
      <c r="D539" s="0" t="n">
        <v>184.18</v>
      </c>
      <c r="E539" s="0" t="n">
        <v>155866</v>
      </c>
      <c r="H539" s="0" t="n">
        <v>0.2856</v>
      </c>
      <c r="J539" s="0" t="n">
        <v>54362</v>
      </c>
      <c r="K539" s="0" t="n">
        <v>15523.99</v>
      </c>
    </row>
    <row r="540" customFormat="false" ht="15" hidden="false" customHeight="false" outlineLevel="0" collapsed="false">
      <c r="A540" s="0" t="n">
        <v>2024</v>
      </c>
      <c r="B540" s="0" t="n">
        <v>11</v>
      </c>
      <c r="C540" s="0" t="s">
        <v>33</v>
      </c>
      <c r="D540" s="0" t="n">
        <v>219.3</v>
      </c>
      <c r="E540" s="0" t="n">
        <v>112802</v>
      </c>
      <c r="F540" s="0" t="n">
        <v>3279.01</v>
      </c>
      <c r="H540" s="0" t="n">
        <v>0.307</v>
      </c>
      <c r="I540" s="0" t="n">
        <v>1006.65607</v>
      </c>
      <c r="J540" s="0" t="n">
        <v>64157</v>
      </c>
      <c r="K540" s="0" t="n">
        <v>19751.41</v>
      </c>
    </row>
    <row r="541" customFormat="false" ht="15" hidden="false" customHeight="false" outlineLevel="0" collapsed="false">
      <c r="A541" s="0" t="n">
        <v>2024</v>
      </c>
      <c r="B541" s="0" t="n">
        <v>12</v>
      </c>
      <c r="C541" s="0" t="s">
        <v>33</v>
      </c>
      <c r="D541" s="0" t="n">
        <v>34</v>
      </c>
      <c r="E541" s="0" t="n">
        <v>23098</v>
      </c>
      <c r="F541" s="0" t="n">
        <v>837.75</v>
      </c>
      <c r="H541" s="0" t="n">
        <v>0.331</v>
      </c>
      <c r="I541" s="0" t="n">
        <v>277.29525</v>
      </c>
      <c r="J541" s="0" t="n">
        <v>51593</v>
      </c>
      <c r="K541" s="0" t="n">
        <v>17063.94</v>
      </c>
    </row>
    <row r="542" customFormat="false" ht="15" hidden="false" customHeight="false" outlineLevel="0" collapsed="false">
      <c r="A542" s="0" t="n">
        <v>2025</v>
      </c>
      <c r="B542" s="0" t="n">
        <v>1</v>
      </c>
      <c r="C542" s="0" t="s">
        <v>33</v>
      </c>
      <c r="D542" s="0" t="n">
        <v>0</v>
      </c>
      <c r="E542" s="0" t="n">
        <v>0</v>
      </c>
      <c r="F542" s="0" t="n">
        <v>104.89</v>
      </c>
      <c r="H542" s="0" t="n">
        <v>0.335</v>
      </c>
      <c r="I542" s="0" t="n">
        <v>35.1381500000001</v>
      </c>
      <c r="J542" s="0" t="n">
        <v>61904</v>
      </c>
      <c r="K542" s="0" t="n">
        <v>20875.39</v>
      </c>
    </row>
    <row r="543" customFormat="false" ht="15" hidden="false" customHeight="false" outlineLevel="0" collapsed="false">
      <c r="A543" s="0" t="n">
        <v>2025</v>
      </c>
      <c r="B543" s="0" t="n">
        <v>2</v>
      </c>
      <c r="C543" s="0" t="s">
        <v>33</v>
      </c>
      <c r="D543" s="0" t="n">
        <v>0</v>
      </c>
      <c r="E543" s="0" t="n">
        <v>0</v>
      </c>
      <c r="F543" s="0" t="n">
        <v>56.1799999999994</v>
      </c>
      <c r="H543" s="0" t="n">
        <v>0.334</v>
      </c>
      <c r="I543" s="0" t="n">
        <v>18.7641199999998</v>
      </c>
      <c r="J543" s="0" t="n">
        <v>60366</v>
      </c>
      <c r="K543" s="0" t="n">
        <v>20173.7</v>
      </c>
    </row>
    <row r="544" customFormat="false" ht="15" hidden="false" customHeight="false" outlineLevel="0" collapsed="false">
      <c r="A544" s="0" t="n">
        <v>2025</v>
      </c>
      <c r="B544" s="0" t="n">
        <v>3</v>
      </c>
      <c r="C544" s="0" t="s">
        <v>33</v>
      </c>
      <c r="D544" s="0" t="n">
        <v>0</v>
      </c>
      <c r="E544" s="0" t="n">
        <v>0</v>
      </c>
      <c r="F544" s="0" t="n">
        <v>0.869999999999891</v>
      </c>
      <c r="H544" s="0" t="n">
        <v>0.286</v>
      </c>
      <c r="I544" s="0" t="n">
        <v>0.248819999999969</v>
      </c>
      <c r="J544" s="0" t="n">
        <v>58209</v>
      </c>
      <c r="K544" s="0" t="n">
        <v>16648.58</v>
      </c>
    </row>
    <row r="545" customFormat="false" ht="15" hidden="false" customHeight="false" outlineLevel="0" collapsed="false">
      <c r="A545" s="0" t="n">
        <v>2025</v>
      </c>
      <c r="B545" s="0" t="n">
        <v>4</v>
      </c>
      <c r="C545" s="0" t="s">
        <v>33</v>
      </c>
      <c r="D545" s="0" t="n">
        <v>45.8</v>
      </c>
      <c r="E545" s="0" t="n">
        <v>25650</v>
      </c>
      <c r="F545" s="0" t="n">
        <v>1078.5</v>
      </c>
      <c r="H545" s="0" t="n">
        <v>0.2655</v>
      </c>
      <c r="I545" s="0" t="n">
        <v>286.34175</v>
      </c>
      <c r="J545" s="0" t="n">
        <v>41269</v>
      </c>
      <c r="K545" s="0" t="n">
        <v>10956.7</v>
      </c>
    </row>
    <row r="546" customFormat="false" ht="15" hidden="false" customHeight="false" outlineLevel="0" collapsed="false">
      <c r="A546" s="0" t="n">
        <v>2025</v>
      </c>
      <c r="B546" s="0" t="n">
        <v>5</v>
      </c>
      <c r="C546" s="0" t="s">
        <v>33</v>
      </c>
      <c r="D546" s="0" t="n">
        <v>0</v>
      </c>
      <c r="E546" s="0" t="n">
        <v>0</v>
      </c>
      <c r="F546" s="0" t="n">
        <v>0</v>
      </c>
      <c r="H546" s="0" t="n">
        <v>0.2575</v>
      </c>
      <c r="I546" s="0" t="n">
        <v>0</v>
      </c>
      <c r="J546" s="0" t="n">
        <v>30809</v>
      </c>
      <c r="K546" s="0" t="n">
        <v>7932.95</v>
      </c>
    </row>
    <row r="547" customFormat="false" ht="15" hidden="false" customHeight="false" outlineLevel="0" collapsed="false">
      <c r="A547" s="0" t="n">
        <v>2025</v>
      </c>
      <c r="B547" s="0" t="n">
        <v>6</v>
      </c>
      <c r="C547" s="0" t="s">
        <v>33</v>
      </c>
      <c r="D547" s="0" t="n">
        <v>25.7</v>
      </c>
      <c r="E547" s="0" t="n">
        <v>16860</v>
      </c>
      <c r="F547" s="0" t="n">
        <v>825.580000000001</v>
      </c>
      <c r="H547" s="0" t="n">
        <v>0.355</v>
      </c>
      <c r="I547" s="0" t="n">
        <v>293.0809</v>
      </c>
      <c r="J547" s="0" t="n">
        <v>33644</v>
      </c>
      <c r="K547" s="0" t="n">
        <v>11949.42</v>
      </c>
    </row>
    <row r="548" customFormat="false" ht="15" hidden="false" customHeight="false" outlineLevel="0" collapsed="false">
      <c r="A548" s="0" t="n">
        <v>2025</v>
      </c>
      <c r="B548" s="0" t="n">
        <v>7</v>
      </c>
      <c r="C548" s="0" t="s">
        <v>33</v>
      </c>
      <c r="D548" s="0" t="n">
        <v>67.3</v>
      </c>
      <c r="E548" s="0" t="n">
        <v>45000</v>
      </c>
      <c r="F548" s="0" t="n">
        <v>1413.66</v>
      </c>
      <c r="H548" s="0" t="n">
        <v>0.296</v>
      </c>
      <c r="I548" s="0" t="n">
        <v>418.44336</v>
      </c>
      <c r="J548" s="0" t="n">
        <v>51483</v>
      </c>
      <c r="K548" s="0" t="n">
        <v>15262.33</v>
      </c>
    </row>
    <row r="549" customFormat="false" ht="15" hidden="false" customHeight="false" outlineLevel="0" collapsed="false">
      <c r="A549" s="0" t="n">
        <v>2025</v>
      </c>
      <c r="B549" s="0" t="n">
        <v>8</v>
      </c>
      <c r="C549" s="0" t="s">
        <v>33</v>
      </c>
      <c r="D549" s="0" t="n">
        <v>0</v>
      </c>
      <c r="E549" s="0" t="n">
        <v>0</v>
      </c>
      <c r="F549" s="0" t="n">
        <v>0</v>
      </c>
      <c r="H549" s="0" t="n">
        <v>0.3268</v>
      </c>
      <c r="I549" s="0" t="n">
        <v>0</v>
      </c>
      <c r="J549" s="0" t="n">
        <v>17650</v>
      </c>
      <c r="K549" s="0" t="n">
        <v>5768.63</v>
      </c>
    </row>
    <row r="550" customFormat="false" ht="15" hidden="false" customHeight="false" outlineLevel="0" collapsed="false">
      <c r="A550" s="0" t="n">
        <v>2025</v>
      </c>
      <c r="B550" s="0" t="n">
        <v>9</v>
      </c>
      <c r="C550" s="0" t="s">
        <v>33</v>
      </c>
      <c r="D550" s="0" t="n">
        <v>22.11</v>
      </c>
      <c r="E550" s="0" t="n">
        <v>12791</v>
      </c>
      <c r="F550" s="0" t="n">
        <v>1235.63</v>
      </c>
      <c r="H550" s="0" t="n">
        <v>0</v>
      </c>
      <c r="I550" s="0" t="n">
        <v>0</v>
      </c>
      <c r="J550" s="0" t="n">
        <v>0</v>
      </c>
      <c r="K550" s="0" t="n">
        <v>0</v>
      </c>
    </row>
    <row r="551" customFormat="false" ht="15" hidden="false" customHeight="false" outlineLevel="0" collapsed="false">
      <c r="A551" s="0" t="n">
        <v>2025</v>
      </c>
      <c r="B551" s="0" t="n">
        <v>10</v>
      </c>
      <c r="C551" s="0" t="s">
        <v>33</v>
      </c>
      <c r="H551" s="0" t="n">
        <v>0</v>
      </c>
      <c r="J551" s="0" t="n">
        <v>0</v>
      </c>
      <c r="K551" s="0" t="n">
        <v>0</v>
      </c>
    </row>
    <row r="552" customFormat="false" ht="15" hidden="false" customHeight="false" outlineLevel="0" collapsed="false">
      <c r="A552" s="0" t="n">
        <v>2025</v>
      </c>
      <c r="B552" s="0" t="n">
        <v>11</v>
      </c>
      <c r="C552" s="0" t="s">
        <v>33</v>
      </c>
      <c r="H552" s="0" t="n">
        <v>0</v>
      </c>
      <c r="J552" s="0" t="n">
        <v>0</v>
      </c>
      <c r="K552" s="0" t="n">
        <v>0</v>
      </c>
    </row>
    <row r="553" customFormat="false" ht="15" hidden="false" customHeight="false" outlineLevel="0" collapsed="false">
      <c r="A553" s="0" t="n">
        <v>2025</v>
      </c>
      <c r="B553" s="0" t="n">
        <v>12</v>
      </c>
      <c r="C553" s="0" t="s">
        <v>33</v>
      </c>
      <c r="H553" s="0" t="n">
        <v>0</v>
      </c>
      <c r="J553" s="0" t="n">
        <v>0</v>
      </c>
      <c r="K553" s="0" t="n">
        <v>0</v>
      </c>
    </row>
    <row r="554" customFormat="false" ht="15" hidden="false" customHeight="false" outlineLevel="0" collapsed="false">
      <c r="A554" s="0" t="n">
        <v>2024</v>
      </c>
      <c r="B554" s="0" t="n">
        <v>1</v>
      </c>
      <c r="C554" s="0" t="s">
        <v>34</v>
      </c>
      <c r="D554" s="0" t="n">
        <v>0</v>
      </c>
      <c r="E554" s="0" t="n">
        <v>0</v>
      </c>
      <c r="H554" s="0" t="n">
        <v>0.2557</v>
      </c>
      <c r="J554" s="0" t="n">
        <v>64934</v>
      </c>
      <c r="K554" s="0" t="n">
        <v>16601.39</v>
      </c>
    </row>
    <row r="555" customFormat="false" ht="15" hidden="false" customHeight="false" outlineLevel="0" collapsed="false">
      <c r="A555" s="0" t="n">
        <v>2024</v>
      </c>
      <c r="B555" s="0" t="n">
        <v>2</v>
      </c>
      <c r="C555" s="0" t="s">
        <v>34</v>
      </c>
      <c r="D555" s="0" t="n">
        <v>61.58</v>
      </c>
      <c r="E555" s="0" t="n">
        <v>22568</v>
      </c>
      <c r="H555" s="0" t="n">
        <v>0.2378</v>
      </c>
      <c r="J555" s="0" t="n">
        <v>71197</v>
      </c>
      <c r="K555" s="0" t="n">
        <v>16934</v>
      </c>
    </row>
    <row r="556" customFormat="false" ht="15" hidden="false" customHeight="false" outlineLevel="0" collapsed="false">
      <c r="A556" s="0" t="n">
        <v>2024</v>
      </c>
      <c r="B556" s="0" t="n">
        <v>3</v>
      </c>
      <c r="C556" s="0" t="s">
        <v>34</v>
      </c>
      <c r="D556" s="0" t="n">
        <v>41.16</v>
      </c>
      <c r="E556" s="0" t="n">
        <v>16740</v>
      </c>
      <c r="H556" s="0" t="n">
        <v>0.2428</v>
      </c>
      <c r="J556" s="0" t="n">
        <v>51152</v>
      </c>
      <c r="K556" s="0" t="n">
        <v>12419.74</v>
      </c>
    </row>
    <row r="557" customFormat="false" ht="15" hidden="false" customHeight="false" outlineLevel="0" collapsed="false">
      <c r="A557" s="0" t="n">
        <v>2024</v>
      </c>
      <c r="B557" s="0" t="n">
        <v>4</v>
      </c>
      <c r="C557" s="0" t="s">
        <v>34</v>
      </c>
      <c r="D557" s="0" t="n">
        <v>397.27</v>
      </c>
      <c r="E557" s="0" t="n">
        <v>13662</v>
      </c>
      <c r="H557" s="0" t="n">
        <v>0.2416</v>
      </c>
      <c r="J557" s="0" t="n">
        <v>45316</v>
      </c>
      <c r="K557" s="0" t="n">
        <v>10948.47</v>
      </c>
    </row>
    <row r="558" customFormat="false" ht="15" hidden="false" customHeight="false" outlineLevel="0" collapsed="false">
      <c r="A558" s="0" t="n">
        <v>2024</v>
      </c>
      <c r="B558" s="0" t="n">
        <v>5</v>
      </c>
      <c r="C558" s="0" t="s">
        <v>34</v>
      </c>
      <c r="D558" s="0" t="n">
        <v>62.07</v>
      </c>
      <c r="E558" s="0" t="n">
        <v>24810</v>
      </c>
      <c r="H558" s="0" t="n">
        <v>0.2507</v>
      </c>
      <c r="J558" s="0" t="n">
        <v>51330</v>
      </c>
      <c r="K558" s="0" t="n">
        <v>12868.58</v>
      </c>
    </row>
    <row r="559" customFormat="false" ht="15" hidden="false" customHeight="false" outlineLevel="0" collapsed="false">
      <c r="A559" s="0" t="n">
        <v>2024</v>
      </c>
      <c r="B559" s="0" t="n">
        <v>6</v>
      </c>
      <c r="C559" s="0" t="s">
        <v>34</v>
      </c>
      <c r="D559" s="0" t="n">
        <v>6.62</v>
      </c>
      <c r="E559" s="0" t="n">
        <v>2300</v>
      </c>
      <c r="H559" s="0" t="n">
        <v>0.2722</v>
      </c>
      <c r="J559" s="0" t="n">
        <v>42151</v>
      </c>
      <c r="K559" s="0" t="n">
        <v>11473.9</v>
      </c>
    </row>
    <row r="560" customFormat="false" ht="15" hidden="false" customHeight="false" outlineLevel="0" collapsed="false">
      <c r="A560" s="0" t="n">
        <v>2024</v>
      </c>
      <c r="B560" s="0" t="n">
        <v>7</v>
      </c>
      <c r="C560" s="0" t="s">
        <v>34</v>
      </c>
      <c r="D560" s="0" t="n">
        <v>59.08</v>
      </c>
      <c r="E560" s="0" t="n">
        <v>24981</v>
      </c>
      <c r="H560" s="0" t="n">
        <v>0.287</v>
      </c>
      <c r="J560" s="0" t="n">
        <v>67581</v>
      </c>
      <c r="K560" s="0" t="n">
        <v>19396.73</v>
      </c>
    </row>
    <row r="561" customFormat="false" ht="15" hidden="false" customHeight="false" outlineLevel="0" collapsed="false">
      <c r="A561" s="0" t="n">
        <v>2024</v>
      </c>
      <c r="B561" s="0" t="n">
        <v>8</v>
      </c>
      <c r="C561" s="0" t="s">
        <v>34</v>
      </c>
      <c r="D561" s="0" t="n">
        <v>12.04</v>
      </c>
      <c r="E561" s="0" t="n">
        <v>4397</v>
      </c>
      <c r="H561" s="0" t="n">
        <v>0.3047</v>
      </c>
      <c r="J561" s="0" t="n">
        <v>44796</v>
      </c>
      <c r="K561" s="0" t="n">
        <v>13651.04</v>
      </c>
    </row>
    <row r="562" customFormat="false" ht="15" hidden="false" customHeight="false" outlineLevel="0" collapsed="false">
      <c r="A562" s="0" t="n">
        <v>2024</v>
      </c>
      <c r="B562" s="0" t="n">
        <v>9</v>
      </c>
      <c r="C562" s="0" t="s">
        <v>34</v>
      </c>
      <c r="D562" s="0" t="n">
        <v>68.21</v>
      </c>
      <c r="E562" s="0" t="n">
        <v>33366</v>
      </c>
      <c r="H562" s="0" t="n">
        <v>0.2904</v>
      </c>
      <c r="J562" s="0" t="n">
        <v>52599</v>
      </c>
      <c r="K562" s="0" t="n">
        <v>15277.15</v>
      </c>
    </row>
    <row r="563" customFormat="false" ht="15" hidden="false" customHeight="false" outlineLevel="0" collapsed="false">
      <c r="A563" s="0" t="n">
        <v>2024</v>
      </c>
      <c r="B563" s="0" t="n">
        <v>10</v>
      </c>
      <c r="C563" s="0" t="s">
        <v>34</v>
      </c>
      <c r="D563" s="0" t="n">
        <v>65.07</v>
      </c>
      <c r="E563" s="0" t="n">
        <v>36002</v>
      </c>
      <c r="H563" s="0" t="n">
        <v>0.2856</v>
      </c>
      <c r="J563" s="0" t="n">
        <v>54362</v>
      </c>
      <c r="K563" s="0" t="n">
        <v>15523.99</v>
      </c>
    </row>
    <row r="564" customFormat="false" ht="15" hidden="false" customHeight="false" outlineLevel="0" collapsed="false">
      <c r="A564" s="0" t="n">
        <v>2024</v>
      </c>
      <c r="B564" s="0" t="n">
        <v>11</v>
      </c>
      <c r="C564" s="0" t="s">
        <v>34</v>
      </c>
      <c r="D564" s="0" t="n">
        <v>50.9</v>
      </c>
      <c r="E564" s="0" t="n">
        <v>13035</v>
      </c>
      <c r="F564" s="0" t="n">
        <v>907.76</v>
      </c>
      <c r="H564" s="0" t="n">
        <v>0.307</v>
      </c>
      <c r="I564" s="0" t="n">
        <v>278.68232</v>
      </c>
      <c r="J564" s="0" t="n">
        <v>64157</v>
      </c>
      <c r="K564" s="0" t="n">
        <v>19751.41</v>
      </c>
    </row>
    <row r="565" customFormat="false" ht="15" hidden="false" customHeight="false" outlineLevel="0" collapsed="false">
      <c r="A565" s="0" t="n">
        <v>2024</v>
      </c>
      <c r="B565" s="0" t="n">
        <v>12</v>
      </c>
      <c r="C565" s="0" t="s">
        <v>34</v>
      </c>
      <c r="D565" s="0" t="n">
        <v>23.7</v>
      </c>
      <c r="E565" s="0" t="n">
        <v>10080</v>
      </c>
      <c r="F565" s="0" t="n">
        <v>499.04</v>
      </c>
      <c r="H565" s="0" t="n">
        <v>0.331</v>
      </c>
      <c r="I565" s="0" t="n">
        <v>165.18224</v>
      </c>
      <c r="J565" s="0" t="n">
        <v>51593</v>
      </c>
      <c r="K565" s="0" t="n">
        <v>17063.94</v>
      </c>
    </row>
    <row r="566" customFormat="false" ht="15" hidden="false" customHeight="false" outlineLevel="0" collapsed="false">
      <c r="A566" s="0" t="n">
        <v>2025</v>
      </c>
      <c r="B566" s="0" t="n">
        <v>1</v>
      </c>
      <c r="C566" s="0" t="s">
        <v>34</v>
      </c>
      <c r="D566" s="0" t="n">
        <v>11.9</v>
      </c>
      <c r="E566" s="0" t="n">
        <v>4740</v>
      </c>
      <c r="F566" s="0" t="n">
        <v>432.51</v>
      </c>
      <c r="H566" s="0" t="n">
        <v>0.335</v>
      </c>
      <c r="I566" s="0" t="n">
        <v>144.89085</v>
      </c>
      <c r="J566" s="0" t="n">
        <v>61904</v>
      </c>
      <c r="K566" s="0" t="n">
        <v>20875.39</v>
      </c>
    </row>
    <row r="567" customFormat="false" ht="15" hidden="false" customHeight="false" outlineLevel="0" collapsed="false">
      <c r="A567" s="0" t="n">
        <v>2025</v>
      </c>
      <c r="B567" s="0" t="n">
        <v>2</v>
      </c>
      <c r="C567" s="0" t="s">
        <v>34</v>
      </c>
      <c r="D567" s="0" t="n">
        <v>11.7</v>
      </c>
      <c r="E567" s="0" t="n">
        <v>3784</v>
      </c>
      <c r="F567" s="0" t="n">
        <v>47.1500000000001</v>
      </c>
      <c r="H567" s="0" t="n">
        <v>0.334</v>
      </c>
      <c r="I567" s="0" t="n">
        <v>15.7481</v>
      </c>
      <c r="J567" s="0" t="n">
        <v>60366</v>
      </c>
      <c r="K567" s="0" t="n">
        <v>20173.7</v>
      </c>
    </row>
    <row r="568" customFormat="false" ht="15" hidden="false" customHeight="false" outlineLevel="0" collapsed="false">
      <c r="A568" s="0" t="n">
        <v>2025</v>
      </c>
      <c r="B568" s="0" t="n">
        <v>3</v>
      </c>
      <c r="C568" s="0" t="s">
        <v>34</v>
      </c>
      <c r="D568" s="0" t="n">
        <v>82.1</v>
      </c>
      <c r="E568" s="0" t="n">
        <v>32736</v>
      </c>
      <c r="F568" s="0" t="n">
        <v>2041.06</v>
      </c>
      <c r="H568" s="0" t="n">
        <v>0.286</v>
      </c>
      <c r="I568" s="0" t="n">
        <v>583.74316</v>
      </c>
      <c r="J568" s="0" t="n">
        <v>58209</v>
      </c>
      <c r="K568" s="0" t="n">
        <v>16648.58</v>
      </c>
    </row>
    <row r="569" customFormat="false" ht="15" hidden="false" customHeight="false" outlineLevel="0" collapsed="false">
      <c r="A569" s="0" t="n">
        <v>2025</v>
      </c>
      <c r="B569" s="0" t="n">
        <v>4</v>
      </c>
      <c r="C569" s="0" t="s">
        <v>34</v>
      </c>
      <c r="D569" s="0" t="n">
        <v>95.1</v>
      </c>
      <c r="E569" s="0" t="n">
        <v>40772</v>
      </c>
      <c r="F569" s="0" t="n">
        <v>1771.95</v>
      </c>
      <c r="H569" s="0" t="n">
        <v>0.2655</v>
      </c>
      <c r="I569" s="0" t="n">
        <v>470.452725</v>
      </c>
      <c r="J569" s="0" t="n">
        <v>41269</v>
      </c>
      <c r="K569" s="0" t="n">
        <v>10956.7</v>
      </c>
    </row>
    <row r="570" customFormat="false" ht="15" hidden="false" customHeight="false" outlineLevel="0" collapsed="false">
      <c r="A570" s="0" t="n">
        <v>2025</v>
      </c>
      <c r="B570" s="0" t="n">
        <v>5</v>
      </c>
      <c r="C570" s="0" t="s">
        <v>34</v>
      </c>
      <c r="D570" s="0" t="n">
        <v>62.5</v>
      </c>
      <c r="E570" s="0" t="n">
        <v>37888</v>
      </c>
      <c r="F570" s="0" t="n">
        <v>1398.26</v>
      </c>
      <c r="H570" s="0" t="n">
        <v>0.2575</v>
      </c>
      <c r="I570" s="0" t="n">
        <v>360.05195</v>
      </c>
      <c r="J570" s="0" t="n">
        <v>30809</v>
      </c>
      <c r="K570" s="0" t="n">
        <v>7932.95</v>
      </c>
    </row>
    <row r="571" customFormat="false" ht="15" hidden="false" customHeight="false" outlineLevel="0" collapsed="false">
      <c r="A571" s="0" t="n">
        <v>2025</v>
      </c>
      <c r="B571" s="0" t="n">
        <v>6</v>
      </c>
      <c r="C571" s="0" t="s">
        <v>34</v>
      </c>
      <c r="D571" s="0" t="n">
        <v>0</v>
      </c>
      <c r="E571" s="0" t="n">
        <v>0</v>
      </c>
      <c r="F571" s="0" t="n">
        <v>0</v>
      </c>
      <c r="H571" s="0" t="n">
        <v>0.355</v>
      </c>
      <c r="I571" s="0" t="n">
        <v>0</v>
      </c>
      <c r="J571" s="0" t="n">
        <v>33644</v>
      </c>
      <c r="K571" s="0" t="n">
        <v>11949.42</v>
      </c>
    </row>
    <row r="572" customFormat="false" ht="15" hidden="false" customHeight="false" outlineLevel="0" collapsed="false">
      <c r="A572" s="0" t="n">
        <v>2025</v>
      </c>
      <c r="B572" s="0" t="n">
        <v>7</v>
      </c>
      <c r="C572" s="0" t="s">
        <v>34</v>
      </c>
      <c r="D572" s="0" t="n">
        <v>0</v>
      </c>
      <c r="E572" s="0" t="n">
        <v>0</v>
      </c>
      <c r="F572" s="0" t="n">
        <v>0</v>
      </c>
      <c r="H572" s="0" t="n">
        <v>0.296</v>
      </c>
      <c r="I572" s="0" t="n">
        <v>0</v>
      </c>
      <c r="J572" s="0" t="n">
        <v>51483</v>
      </c>
      <c r="K572" s="0" t="n">
        <v>15262.33</v>
      </c>
    </row>
    <row r="573" customFormat="false" ht="15" hidden="false" customHeight="false" outlineLevel="0" collapsed="false">
      <c r="A573" s="0" t="n">
        <v>2025</v>
      </c>
      <c r="B573" s="0" t="n">
        <v>8</v>
      </c>
      <c r="C573" s="0" t="s">
        <v>34</v>
      </c>
      <c r="D573" s="0" t="n">
        <v>0</v>
      </c>
      <c r="E573" s="0" t="n">
        <v>0</v>
      </c>
      <c r="F573" s="0" t="n">
        <v>0</v>
      </c>
      <c r="H573" s="0" t="n">
        <v>0.3268</v>
      </c>
      <c r="I573" s="0" t="n">
        <v>0</v>
      </c>
      <c r="J573" s="0" t="n">
        <v>17650</v>
      </c>
      <c r="K573" s="0" t="n">
        <v>5768.63</v>
      </c>
    </row>
    <row r="574" customFormat="false" ht="15" hidden="false" customHeight="false" outlineLevel="0" collapsed="false">
      <c r="A574" s="0" t="n">
        <v>2025</v>
      </c>
      <c r="B574" s="0" t="n">
        <v>9</v>
      </c>
      <c r="C574" s="0" t="s">
        <v>34</v>
      </c>
      <c r="D574" s="0" t="n">
        <v>0</v>
      </c>
      <c r="E574" s="0" t="n">
        <v>0</v>
      </c>
      <c r="F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</row>
    <row r="575" customFormat="false" ht="15" hidden="false" customHeight="false" outlineLevel="0" collapsed="false">
      <c r="A575" s="0" t="n">
        <v>2025</v>
      </c>
      <c r="B575" s="0" t="n">
        <v>10</v>
      </c>
      <c r="C575" s="0" t="s">
        <v>34</v>
      </c>
      <c r="H575" s="0" t="n">
        <v>0</v>
      </c>
      <c r="J575" s="0" t="n">
        <v>0</v>
      </c>
      <c r="K575" s="0" t="n">
        <v>0</v>
      </c>
    </row>
    <row r="576" customFormat="false" ht="15" hidden="false" customHeight="false" outlineLevel="0" collapsed="false">
      <c r="A576" s="0" t="n">
        <v>2025</v>
      </c>
      <c r="B576" s="0" t="n">
        <v>11</v>
      </c>
      <c r="C576" s="0" t="s">
        <v>34</v>
      </c>
      <c r="H576" s="0" t="n">
        <v>0</v>
      </c>
      <c r="J576" s="0" t="n">
        <v>0</v>
      </c>
      <c r="K576" s="0" t="n">
        <v>0</v>
      </c>
    </row>
    <row r="577" customFormat="false" ht="15" hidden="false" customHeight="false" outlineLevel="0" collapsed="false">
      <c r="A577" s="0" t="n">
        <v>2025</v>
      </c>
      <c r="B577" s="0" t="n">
        <v>12</v>
      </c>
      <c r="C577" s="0" t="s">
        <v>34</v>
      </c>
      <c r="H577" s="0" t="n">
        <v>0</v>
      </c>
      <c r="J577" s="0" t="n">
        <v>0</v>
      </c>
      <c r="K577" s="0" t="n">
        <v>0</v>
      </c>
    </row>
    <row r="578" customFormat="false" ht="15" hidden="false" customHeight="false" outlineLevel="0" collapsed="false">
      <c r="A578" s="0" t="n">
        <v>2024</v>
      </c>
      <c r="B578" s="0" t="n">
        <v>1</v>
      </c>
      <c r="C578" s="0" t="s">
        <v>35</v>
      </c>
      <c r="D578" s="0" t="n">
        <v>67.45</v>
      </c>
      <c r="E578" s="0" t="n">
        <v>27440</v>
      </c>
      <c r="H578" s="0" t="n">
        <v>0.2557</v>
      </c>
      <c r="J578" s="0" t="n">
        <v>64934</v>
      </c>
      <c r="K578" s="0" t="n">
        <v>16601.39</v>
      </c>
    </row>
    <row r="579" customFormat="false" ht="15" hidden="false" customHeight="false" outlineLevel="0" collapsed="false">
      <c r="A579" s="0" t="n">
        <v>2024</v>
      </c>
      <c r="B579" s="0" t="n">
        <v>2</v>
      </c>
      <c r="C579" s="0" t="s">
        <v>35</v>
      </c>
      <c r="D579" s="0" t="n">
        <v>76.26</v>
      </c>
      <c r="E579" s="0" t="n">
        <v>27066</v>
      </c>
      <c r="H579" s="0" t="n">
        <v>0.2378</v>
      </c>
      <c r="J579" s="0" t="n">
        <v>71197</v>
      </c>
      <c r="K579" s="0" t="n">
        <v>16934</v>
      </c>
    </row>
    <row r="580" customFormat="false" ht="15" hidden="false" customHeight="false" outlineLevel="0" collapsed="false">
      <c r="A580" s="0" t="n">
        <v>2024</v>
      </c>
      <c r="B580" s="0" t="n">
        <v>3</v>
      </c>
      <c r="C580" s="0" t="s">
        <v>35</v>
      </c>
      <c r="D580" s="0" t="n">
        <v>0</v>
      </c>
      <c r="E580" s="0" t="n">
        <v>0</v>
      </c>
      <c r="H580" s="0" t="n">
        <v>0.2428</v>
      </c>
      <c r="J580" s="0" t="n">
        <v>51152</v>
      </c>
      <c r="K580" s="0" t="n">
        <v>12419.74</v>
      </c>
    </row>
    <row r="581" customFormat="false" ht="15" hidden="false" customHeight="false" outlineLevel="0" collapsed="false">
      <c r="A581" s="0" t="n">
        <v>2024</v>
      </c>
      <c r="B581" s="0" t="n">
        <v>4</v>
      </c>
      <c r="C581" s="0" t="s">
        <v>35</v>
      </c>
      <c r="D581" s="0" t="n">
        <v>66.19</v>
      </c>
      <c r="E581" s="0" t="n">
        <v>22850</v>
      </c>
      <c r="H581" s="0" t="n">
        <v>0.2416</v>
      </c>
      <c r="J581" s="0" t="n">
        <v>45316</v>
      </c>
      <c r="K581" s="0" t="n">
        <v>10948.47</v>
      </c>
    </row>
    <row r="582" customFormat="false" ht="15" hidden="false" customHeight="false" outlineLevel="0" collapsed="false">
      <c r="A582" s="0" t="n">
        <v>2024</v>
      </c>
      <c r="B582" s="0" t="n">
        <v>5</v>
      </c>
      <c r="C582" s="0" t="s">
        <v>35</v>
      </c>
      <c r="D582" s="0" t="n">
        <v>145.04</v>
      </c>
      <c r="E582" s="0" t="n">
        <v>54107</v>
      </c>
      <c r="H582" s="0" t="n">
        <v>0.2507</v>
      </c>
      <c r="J582" s="0" t="n">
        <v>51330</v>
      </c>
      <c r="K582" s="0" t="n">
        <v>12868.58</v>
      </c>
    </row>
    <row r="583" customFormat="false" ht="15" hidden="false" customHeight="false" outlineLevel="0" collapsed="false">
      <c r="A583" s="0" t="n">
        <v>2024</v>
      </c>
      <c r="B583" s="0" t="n">
        <v>6</v>
      </c>
      <c r="C583" s="0" t="s">
        <v>35</v>
      </c>
      <c r="D583" s="0" t="n">
        <v>71.97</v>
      </c>
      <c r="E583" s="0" t="n">
        <v>30860</v>
      </c>
      <c r="H583" s="0" t="n">
        <v>0.2722</v>
      </c>
      <c r="J583" s="0" t="n">
        <v>42151</v>
      </c>
      <c r="K583" s="0" t="n">
        <v>11473.9</v>
      </c>
    </row>
    <row r="584" customFormat="false" ht="15" hidden="false" customHeight="false" outlineLevel="0" collapsed="false">
      <c r="A584" s="0" t="n">
        <v>2024</v>
      </c>
      <c r="B584" s="0" t="n">
        <v>7</v>
      </c>
      <c r="C584" s="0" t="s">
        <v>35</v>
      </c>
      <c r="D584" s="0" t="n">
        <v>3.46</v>
      </c>
      <c r="E584" s="0" t="n">
        <v>1856</v>
      </c>
      <c r="H584" s="0" t="n">
        <v>0.287</v>
      </c>
      <c r="J584" s="0" t="n">
        <v>67581</v>
      </c>
      <c r="K584" s="0" t="n">
        <v>19396.73</v>
      </c>
    </row>
    <row r="585" customFormat="false" ht="15" hidden="false" customHeight="false" outlineLevel="0" collapsed="false">
      <c r="A585" s="0" t="n">
        <v>2024</v>
      </c>
      <c r="B585" s="0" t="n">
        <v>8</v>
      </c>
      <c r="C585" s="0" t="s">
        <v>35</v>
      </c>
      <c r="D585" s="0" t="n">
        <v>76.2</v>
      </c>
      <c r="E585" s="0" t="n">
        <v>24832</v>
      </c>
      <c r="H585" s="0" t="n">
        <v>0.3047</v>
      </c>
      <c r="J585" s="0" t="n">
        <v>44796</v>
      </c>
      <c r="K585" s="0" t="n">
        <v>13651.04</v>
      </c>
    </row>
    <row r="586" customFormat="false" ht="15" hidden="false" customHeight="false" outlineLevel="0" collapsed="false">
      <c r="A586" s="0" t="n">
        <v>2024</v>
      </c>
      <c r="B586" s="0" t="n">
        <v>9</v>
      </c>
      <c r="C586" s="0" t="s">
        <v>35</v>
      </c>
      <c r="D586" s="0" t="n">
        <v>12.63</v>
      </c>
      <c r="E586" s="0" t="n">
        <v>5432</v>
      </c>
      <c r="H586" s="0" t="n">
        <v>0.2904</v>
      </c>
      <c r="J586" s="0" t="n">
        <v>52599</v>
      </c>
      <c r="K586" s="0" t="n">
        <v>15277.15</v>
      </c>
    </row>
    <row r="587" customFormat="false" ht="15" hidden="false" customHeight="false" outlineLevel="0" collapsed="false">
      <c r="A587" s="0" t="n">
        <v>2024</v>
      </c>
      <c r="B587" s="0" t="n">
        <v>10</v>
      </c>
      <c r="C587" s="0" t="s">
        <v>35</v>
      </c>
      <c r="D587" s="0" t="n">
        <v>60.25</v>
      </c>
      <c r="E587" s="0" t="n">
        <v>25350</v>
      </c>
      <c r="H587" s="0" t="n">
        <v>0.2856</v>
      </c>
      <c r="J587" s="0" t="n">
        <v>54362</v>
      </c>
      <c r="K587" s="0" t="n">
        <v>15523.99</v>
      </c>
    </row>
    <row r="588" customFormat="false" ht="15" hidden="false" customHeight="false" outlineLevel="0" collapsed="false">
      <c r="A588" s="0" t="n">
        <v>2024</v>
      </c>
      <c r="B588" s="0" t="n">
        <v>11</v>
      </c>
      <c r="C588" s="0" t="s">
        <v>35</v>
      </c>
      <c r="D588" s="0" t="n">
        <v>7.4</v>
      </c>
      <c r="E588" s="0" t="n">
        <v>3692</v>
      </c>
      <c r="F588" s="0" t="n">
        <v>366.49</v>
      </c>
      <c r="H588" s="0" t="n">
        <v>0.307</v>
      </c>
      <c r="I588" s="0" t="n">
        <v>112.51243</v>
      </c>
      <c r="J588" s="0" t="n">
        <v>64157</v>
      </c>
      <c r="K588" s="0" t="n">
        <v>19751.41</v>
      </c>
    </row>
    <row r="589" customFormat="false" ht="15" hidden="false" customHeight="false" outlineLevel="0" collapsed="false">
      <c r="A589" s="0" t="n">
        <v>2024</v>
      </c>
      <c r="B589" s="0" t="n">
        <v>12</v>
      </c>
      <c r="C589" s="0" t="s">
        <v>35</v>
      </c>
      <c r="D589" s="0" t="n">
        <v>65.2</v>
      </c>
      <c r="E589" s="0" t="n">
        <v>29070</v>
      </c>
      <c r="F589" s="0" t="n">
        <v>1437.77</v>
      </c>
      <c r="H589" s="0" t="n">
        <v>0.331</v>
      </c>
      <c r="I589" s="0" t="n">
        <v>475.90187</v>
      </c>
      <c r="J589" s="0" t="n">
        <v>51593</v>
      </c>
      <c r="K589" s="0" t="n">
        <v>17063.94</v>
      </c>
    </row>
    <row r="590" customFormat="false" ht="15" hidden="false" customHeight="false" outlineLevel="0" collapsed="false">
      <c r="A590" s="0" t="n">
        <v>2025</v>
      </c>
      <c r="B590" s="0" t="n">
        <v>1</v>
      </c>
      <c r="C590" s="0" t="s">
        <v>35</v>
      </c>
      <c r="D590" s="0" t="n">
        <v>71.8</v>
      </c>
      <c r="E590" s="0" t="n">
        <v>29246</v>
      </c>
      <c r="F590" s="0" t="n">
        <v>1463.98</v>
      </c>
      <c r="H590" s="0" t="n">
        <v>0.335</v>
      </c>
      <c r="I590" s="0" t="n">
        <v>490.4333</v>
      </c>
      <c r="J590" s="0" t="n">
        <v>61904</v>
      </c>
      <c r="K590" s="0" t="n">
        <v>20875.39</v>
      </c>
    </row>
    <row r="591" customFormat="false" ht="15" hidden="false" customHeight="false" outlineLevel="0" collapsed="false">
      <c r="A591" s="0" t="n">
        <v>2025</v>
      </c>
      <c r="B591" s="0" t="n">
        <v>2</v>
      </c>
      <c r="C591" s="0" t="s">
        <v>35</v>
      </c>
      <c r="D591" s="0" t="n">
        <v>70.5</v>
      </c>
      <c r="E591" s="0" t="n">
        <v>29300</v>
      </c>
      <c r="F591" s="0" t="n">
        <v>1474.88</v>
      </c>
      <c r="H591" s="0" t="n">
        <v>0.334</v>
      </c>
      <c r="I591" s="0" t="n">
        <v>492.60992</v>
      </c>
      <c r="J591" s="0" t="n">
        <v>60366</v>
      </c>
      <c r="K591" s="0" t="n">
        <v>20173.7</v>
      </c>
    </row>
    <row r="592" customFormat="false" ht="15" hidden="false" customHeight="false" outlineLevel="0" collapsed="false">
      <c r="A592" s="0" t="n">
        <v>2025</v>
      </c>
      <c r="B592" s="0" t="n">
        <v>3</v>
      </c>
      <c r="C592" s="0" t="s">
        <v>35</v>
      </c>
      <c r="D592" s="0" t="n">
        <v>116.5</v>
      </c>
      <c r="E592" s="0" t="n">
        <v>44827</v>
      </c>
      <c r="F592" s="0" t="n">
        <v>2375.76</v>
      </c>
      <c r="H592" s="0" t="n">
        <v>0.286</v>
      </c>
      <c r="I592" s="0" t="n">
        <v>679.46736</v>
      </c>
      <c r="J592" s="0" t="n">
        <v>58209</v>
      </c>
      <c r="K592" s="0" t="n">
        <v>16648.58</v>
      </c>
    </row>
    <row r="593" customFormat="false" ht="15" hidden="false" customHeight="false" outlineLevel="0" collapsed="false">
      <c r="A593" s="0" t="n">
        <v>2025</v>
      </c>
      <c r="B593" s="0" t="n">
        <v>4</v>
      </c>
      <c r="C593" s="0" t="s">
        <v>35</v>
      </c>
      <c r="D593" s="0" t="n">
        <v>76.7</v>
      </c>
      <c r="E593" s="0" t="n">
        <v>28171</v>
      </c>
      <c r="F593" s="0" t="n">
        <v>1423.97</v>
      </c>
      <c r="H593" s="0" t="n">
        <v>0.2655</v>
      </c>
      <c r="I593" s="0" t="n">
        <v>378.064035</v>
      </c>
      <c r="J593" s="0" t="n">
        <v>41269</v>
      </c>
      <c r="K593" s="0" t="n">
        <v>10956.7</v>
      </c>
    </row>
    <row r="594" customFormat="false" ht="15" hidden="false" customHeight="false" outlineLevel="0" collapsed="false">
      <c r="A594" s="0" t="n">
        <v>2025</v>
      </c>
      <c r="B594" s="0" t="n">
        <v>5</v>
      </c>
      <c r="C594" s="0" t="s">
        <v>35</v>
      </c>
      <c r="D594" s="0" t="n">
        <v>0</v>
      </c>
      <c r="E594" s="0" t="n">
        <v>0</v>
      </c>
      <c r="F594" s="0" t="n">
        <v>0</v>
      </c>
      <c r="H594" s="0" t="n">
        <v>0.2575</v>
      </c>
      <c r="I594" s="0" t="n">
        <v>0</v>
      </c>
      <c r="J594" s="0" t="n">
        <v>30809</v>
      </c>
      <c r="K594" s="0" t="n">
        <v>7932.95</v>
      </c>
    </row>
    <row r="595" customFormat="false" ht="15" hidden="false" customHeight="false" outlineLevel="0" collapsed="false">
      <c r="A595" s="0" t="n">
        <v>2025</v>
      </c>
      <c r="B595" s="0" t="n">
        <v>6</v>
      </c>
      <c r="C595" s="0" t="s">
        <v>35</v>
      </c>
      <c r="D595" s="0" t="n">
        <v>0</v>
      </c>
      <c r="E595" s="0" t="n">
        <v>0</v>
      </c>
      <c r="F595" s="0" t="n">
        <v>0</v>
      </c>
      <c r="H595" s="0" t="n">
        <v>0.355</v>
      </c>
      <c r="I595" s="0" t="n">
        <v>0</v>
      </c>
      <c r="J595" s="0" t="n">
        <v>33644</v>
      </c>
      <c r="K595" s="0" t="n">
        <v>11949.42</v>
      </c>
    </row>
    <row r="596" customFormat="false" ht="15" hidden="false" customHeight="false" outlineLevel="0" collapsed="false">
      <c r="A596" s="0" t="n">
        <v>2025</v>
      </c>
      <c r="B596" s="0" t="n">
        <v>7</v>
      </c>
      <c r="C596" s="0" t="s">
        <v>35</v>
      </c>
      <c r="D596" s="0" t="n">
        <v>0</v>
      </c>
      <c r="E596" s="0" t="n">
        <v>0</v>
      </c>
      <c r="F596" s="0" t="n">
        <v>0</v>
      </c>
      <c r="H596" s="0" t="n">
        <v>0.296</v>
      </c>
      <c r="I596" s="0" t="n">
        <v>0</v>
      </c>
      <c r="J596" s="0" t="n">
        <v>51483</v>
      </c>
      <c r="K596" s="0" t="n">
        <v>15262.33</v>
      </c>
    </row>
    <row r="597" customFormat="false" ht="15" hidden="false" customHeight="false" outlineLevel="0" collapsed="false">
      <c r="A597" s="0" t="n">
        <v>2025</v>
      </c>
      <c r="B597" s="0" t="n">
        <v>8</v>
      </c>
      <c r="C597" s="0" t="s">
        <v>35</v>
      </c>
      <c r="D597" s="0" t="n">
        <v>0</v>
      </c>
      <c r="E597" s="0" t="n">
        <v>0</v>
      </c>
      <c r="F597" s="0" t="n">
        <v>0</v>
      </c>
      <c r="H597" s="0" t="n">
        <v>0.3268</v>
      </c>
      <c r="I597" s="0" t="n">
        <v>0</v>
      </c>
      <c r="J597" s="0" t="n">
        <v>17650</v>
      </c>
      <c r="K597" s="0" t="n">
        <v>5768.63</v>
      </c>
    </row>
    <row r="598" customFormat="false" ht="15" hidden="false" customHeight="false" outlineLevel="0" collapsed="false">
      <c r="A598" s="0" t="n">
        <v>2025</v>
      </c>
      <c r="B598" s="0" t="n">
        <v>9</v>
      </c>
      <c r="C598" s="0" t="s">
        <v>35</v>
      </c>
      <c r="D598" s="0" t="n">
        <v>0</v>
      </c>
      <c r="E598" s="0" t="n">
        <v>0</v>
      </c>
      <c r="F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</row>
    <row r="599" customFormat="false" ht="15" hidden="false" customHeight="false" outlineLevel="0" collapsed="false">
      <c r="A599" s="0" t="n">
        <v>2025</v>
      </c>
      <c r="B599" s="0" t="n">
        <v>10</v>
      </c>
      <c r="C599" s="0" t="s">
        <v>35</v>
      </c>
      <c r="H599" s="0" t="n">
        <v>0</v>
      </c>
      <c r="J599" s="0" t="n">
        <v>0</v>
      </c>
      <c r="K599" s="0" t="n">
        <v>0</v>
      </c>
    </row>
    <row r="600" customFormat="false" ht="15" hidden="false" customHeight="false" outlineLevel="0" collapsed="false">
      <c r="A600" s="0" t="n">
        <v>2025</v>
      </c>
      <c r="B600" s="0" t="n">
        <v>11</v>
      </c>
      <c r="C600" s="0" t="s">
        <v>35</v>
      </c>
      <c r="H600" s="0" t="n">
        <v>0</v>
      </c>
      <c r="J600" s="0" t="n">
        <v>0</v>
      </c>
      <c r="K600" s="0" t="n">
        <v>0</v>
      </c>
    </row>
    <row r="601" customFormat="false" ht="15" hidden="false" customHeight="false" outlineLevel="0" collapsed="false">
      <c r="A601" s="0" t="n">
        <v>2025</v>
      </c>
      <c r="B601" s="0" t="n">
        <v>12</v>
      </c>
      <c r="C601" s="0" t="s">
        <v>35</v>
      </c>
      <c r="H601" s="0" t="n">
        <v>0</v>
      </c>
      <c r="J601" s="0" t="n">
        <v>0</v>
      </c>
      <c r="K601" s="0" t="n">
        <v>0</v>
      </c>
    </row>
    <row r="602" customFormat="false" ht="15" hidden="false" customHeight="false" outlineLevel="0" collapsed="false">
      <c r="A602" s="0" t="n">
        <v>2024</v>
      </c>
      <c r="B602" s="0" t="n">
        <v>1</v>
      </c>
      <c r="C602" s="0" t="s">
        <v>36</v>
      </c>
      <c r="H602" s="0" t="n">
        <v>0.2557</v>
      </c>
      <c r="J602" s="0" t="n">
        <v>64934</v>
      </c>
      <c r="K602" s="0" t="n">
        <v>16601.39</v>
      </c>
    </row>
    <row r="603" customFormat="false" ht="15" hidden="false" customHeight="false" outlineLevel="0" collapsed="false">
      <c r="A603" s="0" t="n">
        <v>2024</v>
      </c>
      <c r="B603" s="0" t="n">
        <v>2</v>
      </c>
      <c r="C603" s="0" t="s">
        <v>36</v>
      </c>
      <c r="H603" s="0" t="n">
        <v>0.2378</v>
      </c>
      <c r="J603" s="0" t="n">
        <v>71197</v>
      </c>
      <c r="K603" s="0" t="n">
        <v>16934</v>
      </c>
    </row>
    <row r="604" customFormat="false" ht="15" hidden="false" customHeight="false" outlineLevel="0" collapsed="false">
      <c r="A604" s="0" t="n">
        <v>2024</v>
      </c>
      <c r="B604" s="0" t="n">
        <v>3</v>
      </c>
      <c r="C604" s="0" t="s">
        <v>36</v>
      </c>
      <c r="H604" s="0" t="n">
        <v>0.2428</v>
      </c>
      <c r="J604" s="0" t="n">
        <v>51152</v>
      </c>
      <c r="K604" s="0" t="n">
        <v>12419.74</v>
      </c>
    </row>
    <row r="605" customFormat="false" ht="15" hidden="false" customHeight="false" outlineLevel="0" collapsed="false">
      <c r="A605" s="0" t="n">
        <v>2024</v>
      </c>
      <c r="B605" s="0" t="n">
        <v>4</v>
      </c>
      <c r="C605" s="0" t="s">
        <v>36</v>
      </c>
      <c r="H605" s="0" t="n">
        <v>0.2416</v>
      </c>
      <c r="J605" s="0" t="n">
        <v>45316</v>
      </c>
      <c r="K605" s="0" t="n">
        <v>10948.47</v>
      </c>
    </row>
    <row r="606" customFormat="false" ht="15" hidden="false" customHeight="false" outlineLevel="0" collapsed="false">
      <c r="A606" s="0" t="n">
        <v>2024</v>
      </c>
      <c r="B606" s="0" t="n">
        <v>5</v>
      </c>
      <c r="C606" s="0" t="s">
        <v>36</v>
      </c>
      <c r="H606" s="0" t="n">
        <v>0.2507</v>
      </c>
      <c r="J606" s="0" t="n">
        <v>51330</v>
      </c>
      <c r="K606" s="0" t="n">
        <v>12868.58</v>
      </c>
    </row>
    <row r="607" customFormat="false" ht="15" hidden="false" customHeight="false" outlineLevel="0" collapsed="false">
      <c r="A607" s="0" t="n">
        <v>2024</v>
      </c>
      <c r="B607" s="0" t="n">
        <v>6</v>
      </c>
      <c r="C607" s="0" t="s">
        <v>36</v>
      </c>
      <c r="H607" s="0" t="n">
        <v>0.2722</v>
      </c>
      <c r="J607" s="0" t="n">
        <v>42151</v>
      </c>
      <c r="K607" s="0" t="n">
        <v>11473.9</v>
      </c>
    </row>
    <row r="608" customFormat="false" ht="15" hidden="false" customHeight="false" outlineLevel="0" collapsed="false">
      <c r="A608" s="0" t="n">
        <v>2024</v>
      </c>
      <c r="B608" s="0" t="n">
        <v>7</v>
      </c>
      <c r="C608" s="0" t="s">
        <v>36</v>
      </c>
      <c r="H608" s="0" t="n">
        <v>0.287</v>
      </c>
      <c r="J608" s="0" t="n">
        <v>67581</v>
      </c>
      <c r="K608" s="0" t="n">
        <v>19396.73</v>
      </c>
    </row>
    <row r="609" customFormat="false" ht="15" hidden="false" customHeight="false" outlineLevel="0" collapsed="false">
      <c r="A609" s="0" t="n">
        <v>2024</v>
      </c>
      <c r="B609" s="0" t="n">
        <v>8</v>
      </c>
      <c r="C609" s="0" t="s">
        <v>36</v>
      </c>
      <c r="H609" s="0" t="n">
        <v>0.3047</v>
      </c>
      <c r="J609" s="0" t="n">
        <v>44796</v>
      </c>
      <c r="K609" s="0" t="n">
        <v>13651.04</v>
      </c>
    </row>
    <row r="610" customFormat="false" ht="15" hidden="false" customHeight="false" outlineLevel="0" collapsed="false">
      <c r="A610" s="0" t="n">
        <v>2024</v>
      </c>
      <c r="B610" s="0" t="n">
        <v>9</v>
      </c>
      <c r="C610" s="0" t="s">
        <v>36</v>
      </c>
      <c r="H610" s="0" t="n">
        <v>0.2904</v>
      </c>
      <c r="J610" s="0" t="n">
        <v>52599</v>
      </c>
      <c r="K610" s="0" t="n">
        <v>15277.15</v>
      </c>
    </row>
    <row r="611" customFormat="false" ht="15" hidden="false" customHeight="false" outlineLevel="0" collapsed="false">
      <c r="A611" s="0" t="n">
        <v>2024</v>
      </c>
      <c r="B611" s="0" t="n">
        <v>10</v>
      </c>
      <c r="C611" s="0" t="s">
        <v>36</v>
      </c>
      <c r="D611" s="0" t="n">
        <v>0.01</v>
      </c>
      <c r="E611" s="0" t="n">
        <v>7</v>
      </c>
      <c r="H611" s="0" t="n">
        <v>0.2856</v>
      </c>
      <c r="J611" s="0" t="n">
        <v>54362</v>
      </c>
      <c r="K611" s="0" t="n">
        <v>15523.99</v>
      </c>
    </row>
    <row r="612" customFormat="false" ht="15" hidden="false" customHeight="false" outlineLevel="0" collapsed="false">
      <c r="A612" s="0" t="n">
        <v>2024</v>
      </c>
      <c r="B612" s="0" t="n">
        <v>11</v>
      </c>
      <c r="C612" s="0" t="s">
        <v>36</v>
      </c>
      <c r="H612" s="0" t="n">
        <v>0.307</v>
      </c>
      <c r="I612" s="0" t="n">
        <v>0</v>
      </c>
      <c r="J612" s="0" t="n">
        <v>64157</v>
      </c>
      <c r="K612" s="0" t="n">
        <v>19751.41</v>
      </c>
    </row>
    <row r="613" customFormat="false" ht="15" hidden="false" customHeight="false" outlineLevel="0" collapsed="false">
      <c r="A613" s="0" t="n">
        <v>2024</v>
      </c>
      <c r="B613" s="0" t="n">
        <v>12</v>
      </c>
      <c r="C613" s="0" t="s">
        <v>36</v>
      </c>
      <c r="H613" s="0" t="n">
        <v>0.331</v>
      </c>
      <c r="I613" s="0" t="n">
        <v>0</v>
      </c>
      <c r="J613" s="0" t="n">
        <v>51593</v>
      </c>
      <c r="K613" s="0" t="n">
        <v>17063.94</v>
      </c>
    </row>
    <row r="614" customFormat="false" ht="15" hidden="false" customHeight="false" outlineLevel="0" collapsed="false">
      <c r="A614" s="0" t="n">
        <v>2025</v>
      </c>
      <c r="B614" s="0" t="n">
        <v>1</v>
      </c>
      <c r="C614" s="0" t="s">
        <v>36</v>
      </c>
      <c r="H614" s="0" t="n">
        <v>0.335</v>
      </c>
      <c r="I614" s="0" t="n">
        <v>0</v>
      </c>
      <c r="J614" s="0" t="n">
        <v>61904</v>
      </c>
      <c r="K614" s="0" t="n">
        <v>20875.39</v>
      </c>
    </row>
    <row r="615" customFormat="false" ht="15" hidden="false" customHeight="false" outlineLevel="0" collapsed="false">
      <c r="A615" s="0" t="n">
        <v>2025</v>
      </c>
      <c r="B615" s="0" t="n">
        <v>2</v>
      </c>
      <c r="C615" s="0" t="s">
        <v>36</v>
      </c>
      <c r="H615" s="0" t="n">
        <v>0.334</v>
      </c>
      <c r="I615" s="0" t="n">
        <v>0</v>
      </c>
      <c r="J615" s="0" t="n">
        <v>60366</v>
      </c>
      <c r="K615" s="0" t="n">
        <v>20173.7</v>
      </c>
    </row>
    <row r="616" customFormat="false" ht="15" hidden="false" customHeight="false" outlineLevel="0" collapsed="false">
      <c r="A616" s="0" t="n">
        <v>2025</v>
      </c>
      <c r="B616" s="0" t="n">
        <v>3</v>
      </c>
      <c r="C616" s="0" t="s">
        <v>36</v>
      </c>
      <c r="H616" s="0" t="n">
        <v>0.286</v>
      </c>
      <c r="I616" s="0" t="n">
        <v>0</v>
      </c>
      <c r="J616" s="0" t="n">
        <v>58209</v>
      </c>
      <c r="K616" s="0" t="n">
        <v>16648.58</v>
      </c>
    </row>
    <row r="617" customFormat="false" ht="15" hidden="false" customHeight="false" outlineLevel="0" collapsed="false">
      <c r="A617" s="0" t="n">
        <v>2025</v>
      </c>
      <c r="B617" s="0" t="n">
        <v>4</v>
      </c>
      <c r="C617" s="0" t="s">
        <v>36</v>
      </c>
      <c r="H617" s="0" t="n">
        <v>0.2655</v>
      </c>
      <c r="I617" s="0" t="n">
        <v>0</v>
      </c>
      <c r="J617" s="0" t="n">
        <v>41269</v>
      </c>
      <c r="K617" s="0" t="n">
        <v>10956.7</v>
      </c>
    </row>
    <row r="618" customFormat="false" ht="15" hidden="false" customHeight="false" outlineLevel="0" collapsed="false">
      <c r="A618" s="0" t="n">
        <v>2025</v>
      </c>
      <c r="B618" s="0" t="n">
        <v>5</v>
      </c>
      <c r="C618" s="0" t="s">
        <v>36</v>
      </c>
      <c r="H618" s="0" t="n">
        <v>0.2575</v>
      </c>
      <c r="I618" s="0" t="n">
        <v>0</v>
      </c>
      <c r="J618" s="0" t="n">
        <v>30809</v>
      </c>
      <c r="K618" s="0" t="n">
        <v>7932.95</v>
      </c>
    </row>
    <row r="619" customFormat="false" ht="15" hidden="false" customHeight="false" outlineLevel="0" collapsed="false">
      <c r="A619" s="0" t="n">
        <v>2025</v>
      </c>
      <c r="B619" s="0" t="n">
        <v>6</v>
      </c>
      <c r="C619" s="0" t="s">
        <v>36</v>
      </c>
      <c r="H619" s="0" t="n">
        <v>0.355</v>
      </c>
      <c r="I619" s="0" t="n">
        <v>0</v>
      </c>
      <c r="J619" s="0" t="n">
        <v>33644</v>
      </c>
      <c r="K619" s="0" t="n">
        <v>11949.42</v>
      </c>
    </row>
    <row r="620" customFormat="false" ht="15" hidden="false" customHeight="false" outlineLevel="0" collapsed="false">
      <c r="A620" s="0" t="n">
        <v>2025</v>
      </c>
      <c r="B620" s="0" t="n">
        <v>7</v>
      </c>
      <c r="C620" s="0" t="s">
        <v>36</v>
      </c>
      <c r="H620" s="0" t="n">
        <v>0.296</v>
      </c>
      <c r="I620" s="0" t="n">
        <v>0</v>
      </c>
      <c r="J620" s="0" t="n">
        <v>51483</v>
      </c>
      <c r="K620" s="0" t="n">
        <v>15262.33</v>
      </c>
    </row>
    <row r="621" customFormat="false" ht="15" hidden="false" customHeight="false" outlineLevel="0" collapsed="false">
      <c r="A621" s="0" t="n">
        <v>2025</v>
      </c>
      <c r="B621" s="0" t="n">
        <v>8</v>
      </c>
      <c r="C621" s="0" t="s">
        <v>36</v>
      </c>
      <c r="H621" s="0" t="n">
        <v>0.3268</v>
      </c>
      <c r="I621" s="0" t="n">
        <v>0</v>
      </c>
      <c r="J621" s="0" t="n">
        <v>17650</v>
      </c>
      <c r="K621" s="0" t="n">
        <v>5768.63</v>
      </c>
    </row>
    <row r="622" customFormat="false" ht="15" hidden="false" customHeight="false" outlineLevel="0" collapsed="false">
      <c r="A622" s="0" t="n">
        <v>2025</v>
      </c>
      <c r="B622" s="0" t="n">
        <v>9</v>
      </c>
      <c r="C622" s="0" t="s">
        <v>36</v>
      </c>
      <c r="D622" s="0" t="n">
        <v>0</v>
      </c>
      <c r="E622" s="0" t="n">
        <v>0</v>
      </c>
      <c r="H622" s="0" t="n">
        <v>0</v>
      </c>
      <c r="J622" s="0" t="n">
        <v>0</v>
      </c>
      <c r="K622" s="0" t="n">
        <v>0</v>
      </c>
    </row>
    <row r="623" customFormat="false" ht="15" hidden="false" customHeight="false" outlineLevel="0" collapsed="false">
      <c r="A623" s="0" t="n">
        <v>2025</v>
      </c>
      <c r="B623" s="0" t="n">
        <v>10</v>
      </c>
      <c r="C623" s="0" t="s">
        <v>36</v>
      </c>
      <c r="H623" s="0" t="n">
        <v>0</v>
      </c>
      <c r="J623" s="0" t="n">
        <v>0</v>
      </c>
      <c r="K623" s="0" t="n">
        <v>0</v>
      </c>
    </row>
    <row r="624" customFormat="false" ht="15" hidden="false" customHeight="false" outlineLevel="0" collapsed="false">
      <c r="A624" s="0" t="n">
        <v>2025</v>
      </c>
      <c r="B624" s="0" t="n">
        <v>11</v>
      </c>
      <c r="C624" s="0" t="s">
        <v>36</v>
      </c>
      <c r="H624" s="0" t="n">
        <v>0</v>
      </c>
      <c r="J624" s="0" t="n">
        <v>0</v>
      </c>
      <c r="K624" s="0" t="n">
        <v>0</v>
      </c>
    </row>
    <row r="625" customFormat="false" ht="15" hidden="false" customHeight="false" outlineLevel="0" collapsed="false">
      <c r="A625" s="0" t="n">
        <v>2025</v>
      </c>
      <c r="B625" s="0" t="n">
        <v>12</v>
      </c>
      <c r="C625" s="0" t="s">
        <v>36</v>
      </c>
      <c r="H625" s="0" t="n">
        <v>0</v>
      </c>
      <c r="J625" s="0" t="n">
        <v>0</v>
      </c>
      <c r="K625" s="0" t="n">
        <v>0</v>
      </c>
    </row>
    <row r="626" customFormat="false" ht="15" hidden="false" customHeight="false" outlineLevel="0" collapsed="false">
      <c r="A626" s="0" t="n">
        <v>2024</v>
      </c>
      <c r="B626" s="0" t="n">
        <v>1</v>
      </c>
      <c r="C626" s="0" t="s">
        <v>37</v>
      </c>
      <c r="D626" s="0" t="n">
        <v>39.27</v>
      </c>
      <c r="E626" s="0" t="n">
        <v>11077</v>
      </c>
      <c r="H626" s="0" t="n">
        <v>0.2557</v>
      </c>
      <c r="J626" s="0" t="n">
        <v>64934</v>
      </c>
      <c r="K626" s="0" t="n">
        <v>16601.39</v>
      </c>
    </row>
    <row r="627" customFormat="false" ht="15" hidden="false" customHeight="false" outlineLevel="0" collapsed="false">
      <c r="A627" s="0" t="n">
        <v>2024</v>
      </c>
      <c r="B627" s="0" t="n">
        <v>2</v>
      </c>
      <c r="C627" s="0" t="s">
        <v>37</v>
      </c>
      <c r="D627" s="0" t="n">
        <v>19</v>
      </c>
      <c r="E627" s="0" t="n">
        <v>5625</v>
      </c>
      <c r="H627" s="0" t="n">
        <v>0.2378</v>
      </c>
      <c r="J627" s="0" t="n">
        <v>71197</v>
      </c>
      <c r="K627" s="0" t="n">
        <v>16934</v>
      </c>
    </row>
    <row r="628" customFormat="false" ht="15" hidden="false" customHeight="false" outlineLevel="0" collapsed="false">
      <c r="A628" s="0" t="n">
        <v>2024</v>
      </c>
      <c r="B628" s="0" t="n">
        <v>3</v>
      </c>
      <c r="C628" s="0" t="s">
        <v>37</v>
      </c>
      <c r="D628" s="0" t="n">
        <v>157.46</v>
      </c>
      <c r="E628" s="0" t="n">
        <v>30131</v>
      </c>
      <c r="H628" s="0" t="n">
        <v>0.2428</v>
      </c>
      <c r="J628" s="0" t="n">
        <v>51152</v>
      </c>
      <c r="K628" s="0" t="n">
        <v>12419.74</v>
      </c>
    </row>
    <row r="629" customFormat="false" ht="15" hidden="false" customHeight="false" outlineLevel="0" collapsed="false">
      <c r="A629" s="0" t="n">
        <v>2024</v>
      </c>
      <c r="B629" s="0" t="n">
        <v>4</v>
      </c>
      <c r="C629" s="0" t="s">
        <v>37</v>
      </c>
      <c r="D629" s="0" t="n">
        <v>78.11</v>
      </c>
      <c r="E629" s="0" t="n">
        <v>25849</v>
      </c>
      <c r="H629" s="0" t="n">
        <v>0.2416</v>
      </c>
      <c r="J629" s="0" t="n">
        <v>45316</v>
      </c>
      <c r="K629" s="0" t="n">
        <v>10948.47</v>
      </c>
    </row>
    <row r="630" customFormat="false" ht="15" hidden="false" customHeight="false" outlineLevel="0" collapsed="false">
      <c r="A630" s="0" t="n">
        <v>2024</v>
      </c>
      <c r="B630" s="0" t="n">
        <v>5</v>
      </c>
      <c r="C630" s="0" t="s">
        <v>37</v>
      </c>
      <c r="D630" s="0" t="n">
        <v>178.81</v>
      </c>
      <c r="E630" s="0" t="n">
        <v>25824</v>
      </c>
      <c r="H630" s="0" t="n">
        <v>0.2507</v>
      </c>
      <c r="J630" s="0" t="n">
        <v>51330</v>
      </c>
      <c r="K630" s="0" t="n">
        <v>12868.58</v>
      </c>
    </row>
    <row r="631" customFormat="false" ht="15" hidden="false" customHeight="false" outlineLevel="0" collapsed="false">
      <c r="A631" s="0" t="n">
        <v>2024</v>
      </c>
      <c r="B631" s="0" t="n">
        <v>6</v>
      </c>
      <c r="C631" s="0" t="s">
        <v>37</v>
      </c>
      <c r="D631" s="0" t="n">
        <v>7.35</v>
      </c>
      <c r="E631" s="0" t="n">
        <v>2632</v>
      </c>
      <c r="H631" s="0" t="n">
        <v>0.2722</v>
      </c>
      <c r="J631" s="0" t="n">
        <v>42151</v>
      </c>
      <c r="K631" s="0" t="n">
        <v>11473.9</v>
      </c>
    </row>
    <row r="632" customFormat="false" ht="15" hidden="false" customHeight="false" outlineLevel="0" collapsed="false">
      <c r="A632" s="0" t="n">
        <v>2024</v>
      </c>
      <c r="B632" s="0" t="n">
        <v>7</v>
      </c>
      <c r="C632" s="0" t="s">
        <v>37</v>
      </c>
      <c r="D632" s="0" t="n">
        <v>112.09</v>
      </c>
      <c r="E632" s="0" t="n">
        <v>32609</v>
      </c>
      <c r="H632" s="0" t="n">
        <v>0.287</v>
      </c>
      <c r="J632" s="0" t="n">
        <v>67581</v>
      </c>
      <c r="K632" s="0" t="n">
        <v>19396.73</v>
      </c>
    </row>
    <row r="633" customFormat="false" ht="15" hidden="false" customHeight="false" outlineLevel="0" collapsed="false">
      <c r="A633" s="0" t="n">
        <v>2024</v>
      </c>
      <c r="B633" s="0" t="n">
        <v>8</v>
      </c>
      <c r="C633" s="0" t="s">
        <v>37</v>
      </c>
      <c r="D633" s="0" t="n">
        <v>21.29</v>
      </c>
      <c r="E633" s="0" t="n">
        <v>3856</v>
      </c>
      <c r="H633" s="0" t="n">
        <v>0.3047</v>
      </c>
      <c r="J633" s="0" t="n">
        <v>44796</v>
      </c>
      <c r="K633" s="0" t="n">
        <v>13651.04</v>
      </c>
    </row>
    <row r="634" customFormat="false" ht="15" hidden="false" customHeight="false" outlineLevel="0" collapsed="false">
      <c r="A634" s="0" t="n">
        <v>2024</v>
      </c>
      <c r="B634" s="0" t="n">
        <v>9</v>
      </c>
      <c r="C634" s="0" t="s">
        <v>37</v>
      </c>
      <c r="D634" s="0" t="n">
        <v>0</v>
      </c>
      <c r="E634" s="0" t="n">
        <v>0</v>
      </c>
      <c r="H634" s="0" t="n">
        <v>0.2904</v>
      </c>
      <c r="J634" s="0" t="n">
        <v>52599</v>
      </c>
      <c r="K634" s="0" t="n">
        <v>15277.15</v>
      </c>
    </row>
    <row r="635" customFormat="false" ht="15" hidden="false" customHeight="false" outlineLevel="0" collapsed="false">
      <c r="A635" s="0" t="n">
        <v>2024</v>
      </c>
      <c r="B635" s="0" t="n">
        <v>10</v>
      </c>
      <c r="C635" s="0" t="s">
        <v>37</v>
      </c>
      <c r="D635" s="0" t="n">
        <v>0</v>
      </c>
      <c r="E635" s="0" t="n">
        <v>0</v>
      </c>
      <c r="H635" s="0" t="n">
        <v>0.2856</v>
      </c>
      <c r="J635" s="0" t="n">
        <v>54362</v>
      </c>
      <c r="K635" s="0" t="n">
        <v>15523.99</v>
      </c>
    </row>
    <row r="636" customFormat="false" ht="15" hidden="false" customHeight="false" outlineLevel="0" collapsed="false">
      <c r="A636" s="0" t="n">
        <v>2024</v>
      </c>
      <c r="B636" s="0" t="n">
        <v>11</v>
      </c>
      <c r="C636" s="0" t="s">
        <v>37</v>
      </c>
      <c r="D636" s="0" t="n">
        <v>6.2</v>
      </c>
      <c r="E636" s="0" t="n">
        <v>952</v>
      </c>
      <c r="F636" s="0" t="n">
        <v>22.83</v>
      </c>
      <c r="H636" s="0" t="n">
        <v>0.307</v>
      </c>
      <c r="I636" s="0" t="n">
        <v>7.00881</v>
      </c>
      <c r="J636" s="0" t="n">
        <v>64157</v>
      </c>
      <c r="K636" s="0" t="n">
        <v>19751.41</v>
      </c>
    </row>
    <row r="637" customFormat="false" ht="15" hidden="false" customHeight="false" outlineLevel="0" collapsed="false">
      <c r="A637" s="0" t="n">
        <v>2024</v>
      </c>
      <c r="B637" s="0" t="n">
        <v>12</v>
      </c>
      <c r="C637" s="0" t="s">
        <v>37</v>
      </c>
      <c r="D637" s="0" t="n">
        <v>107.1</v>
      </c>
      <c r="E637" s="0" t="n">
        <v>25238</v>
      </c>
      <c r="F637" s="0" t="n">
        <v>28.35</v>
      </c>
      <c r="H637" s="0" t="n">
        <v>0.331</v>
      </c>
      <c r="I637" s="0" t="n">
        <v>9.38385</v>
      </c>
      <c r="J637" s="0" t="n">
        <v>51593</v>
      </c>
      <c r="K637" s="0" t="n">
        <v>17063.94</v>
      </c>
    </row>
    <row r="638" customFormat="false" ht="15" hidden="false" customHeight="false" outlineLevel="0" collapsed="false">
      <c r="A638" s="0" t="n">
        <v>2025</v>
      </c>
      <c r="B638" s="0" t="n">
        <v>1</v>
      </c>
      <c r="C638" s="0" t="s">
        <v>37</v>
      </c>
      <c r="D638" s="0" t="n">
        <v>0</v>
      </c>
      <c r="E638" s="0" t="n">
        <v>0</v>
      </c>
      <c r="F638" s="0" t="n">
        <v>1.74</v>
      </c>
      <c r="H638" s="0" t="n">
        <v>0.335</v>
      </c>
      <c r="I638" s="0" t="n">
        <v>0.582900000000001</v>
      </c>
      <c r="J638" s="0" t="n">
        <v>61904</v>
      </c>
      <c r="K638" s="0" t="n">
        <v>20875.39</v>
      </c>
    </row>
    <row r="639" customFormat="false" ht="15" hidden="false" customHeight="false" outlineLevel="0" collapsed="false">
      <c r="A639" s="0" t="n">
        <v>2025</v>
      </c>
      <c r="B639" s="0" t="n">
        <v>2</v>
      </c>
      <c r="C639" s="0" t="s">
        <v>37</v>
      </c>
      <c r="D639" s="0" t="n">
        <v>0</v>
      </c>
      <c r="E639" s="0" t="n">
        <v>0</v>
      </c>
      <c r="F639" s="0" t="n">
        <v>1.69000000000001</v>
      </c>
      <c r="H639" s="0" t="n">
        <v>0.334</v>
      </c>
      <c r="I639" s="0" t="n">
        <v>0.564460000000002</v>
      </c>
      <c r="J639" s="0" t="n">
        <v>60366</v>
      </c>
      <c r="K639" s="0" t="n">
        <v>20173.7</v>
      </c>
    </row>
    <row r="640" customFormat="false" ht="15" hidden="false" customHeight="false" outlineLevel="0" collapsed="false">
      <c r="A640" s="0" t="n">
        <v>2025</v>
      </c>
      <c r="B640" s="0" t="n">
        <v>3</v>
      </c>
      <c r="C640" s="0" t="s">
        <v>37</v>
      </c>
      <c r="D640" s="0" t="n">
        <v>0</v>
      </c>
      <c r="E640" s="0" t="n">
        <v>0</v>
      </c>
      <c r="F640" s="0" t="n">
        <v>2.7</v>
      </c>
      <c r="H640" s="0" t="n">
        <v>0.286</v>
      </c>
      <c r="I640" s="0" t="n">
        <v>0.772199999999999</v>
      </c>
      <c r="J640" s="0" t="n">
        <v>58209</v>
      </c>
      <c r="K640" s="0" t="n">
        <v>16648.58</v>
      </c>
    </row>
    <row r="641" customFormat="false" ht="15" hidden="false" customHeight="false" outlineLevel="0" collapsed="false">
      <c r="A641" s="0" t="n">
        <v>2025</v>
      </c>
      <c r="B641" s="0" t="n">
        <v>4</v>
      </c>
      <c r="C641" s="0" t="s">
        <v>37</v>
      </c>
      <c r="D641" s="0" t="n">
        <v>40.4</v>
      </c>
      <c r="E641" s="0" t="n">
        <v>5772</v>
      </c>
      <c r="F641" s="0" t="n">
        <v>16.48</v>
      </c>
      <c r="H641" s="0" t="n">
        <v>0.2655</v>
      </c>
      <c r="I641" s="0" t="n">
        <v>4.37544</v>
      </c>
      <c r="J641" s="0" t="n">
        <v>41269</v>
      </c>
      <c r="K641" s="0" t="n">
        <v>10956.7</v>
      </c>
    </row>
    <row r="642" customFormat="false" ht="15" hidden="false" customHeight="false" outlineLevel="0" collapsed="false">
      <c r="A642" s="0" t="n">
        <v>2025</v>
      </c>
      <c r="B642" s="0" t="n">
        <v>5</v>
      </c>
      <c r="C642" s="0" t="s">
        <v>37</v>
      </c>
      <c r="D642" s="0" t="n">
        <v>22.2</v>
      </c>
      <c r="E642" s="0" t="n">
        <v>10809</v>
      </c>
      <c r="F642" s="0" t="n">
        <v>7</v>
      </c>
      <c r="H642" s="0" t="n">
        <v>0.2575</v>
      </c>
      <c r="I642" s="0" t="n">
        <v>1.8025</v>
      </c>
      <c r="J642" s="0" t="n">
        <v>30809</v>
      </c>
      <c r="K642" s="0" t="n">
        <v>7932.95</v>
      </c>
    </row>
    <row r="643" customFormat="false" ht="15" hidden="false" customHeight="false" outlineLevel="0" collapsed="false">
      <c r="A643" s="0" t="n">
        <v>2025</v>
      </c>
      <c r="B643" s="0" t="n">
        <v>6</v>
      </c>
      <c r="C643" s="0" t="s">
        <v>37</v>
      </c>
      <c r="D643" s="0" t="n">
        <v>0</v>
      </c>
      <c r="E643" s="0" t="n">
        <v>0</v>
      </c>
      <c r="F643" s="0" t="n">
        <v>1.64</v>
      </c>
      <c r="H643" s="0" t="n">
        <v>0.355</v>
      </c>
      <c r="I643" s="0" t="n">
        <v>0.5822</v>
      </c>
      <c r="J643" s="0" t="n">
        <v>33644</v>
      </c>
      <c r="K643" s="0" t="n">
        <v>11949.42</v>
      </c>
    </row>
    <row r="644" customFormat="false" ht="15" hidden="false" customHeight="false" outlineLevel="0" collapsed="false">
      <c r="A644" s="0" t="n">
        <v>2025</v>
      </c>
      <c r="B644" s="0" t="n">
        <v>7</v>
      </c>
      <c r="C644" s="0" t="s">
        <v>37</v>
      </c>
      <c r="D644" s="0" t="n">
        <v>0</v>
      </c>
      <c r="E644" s="0" t="n">
        <v>0</v>
      </c>
      <c r="F644" s="0" t="n">
        <v>2.07000000000001</v>
      </c>
      <c r="H644" s="0" t="n">
        <v>0.296</v>
      </c>
      <c r="I644" s="0" t="n">
        <v>0.612720000000002</v>
      </c>
      <c r="J644" s="0" t="n">
        <v>51483</v>
      </c>
      <c r="K644" s="0" t="n">
        <v>15262.33</v>
      </c>
    </row>
    <row r="645" customFormat="false" ht="15" hidden="false" customHeight="false" outlineLevel="0" collapsed="false">
      <c r="A645" s="0" t="n">
        <v>2025</v>
      </c>
      <c r="B645" s="0" t="n">
        <v>8</v>
      </c>
      <c r="C645" s="0" t="s">
        <v>37</v>
      </c>
      <c r="D645" s="0" t="n">
        <v>0</v>
      </c>
      <c r="E645" s="0" t="n">
        <v>0</v>
      </c>
      <c r="F645" s="0" t="n">
        <v>0.359999999999999</v>
      </c>
      <c r="H645" s="0" t="n">
        <v>0.3268</v>
      </c>
      <c r="I645" s="0" t="n">
        <v>0.117648</v>
      </c>
      <c r="J645" s="0" t="n">
        <v>17650</v>
      </c>
      <c r="K645" s="0" t="n">
        <v>5768.63</v>
      </c>
    </row>
    <row r="646" customFormat="false" ht="15" hidden="false" customHeight="false" outlineLevel="0" collapsed="false">
      <c r="A646" s="0" t="n">
        <v>2025</v>
      </c>
      <c r="B646" s="0" t="n">
        <v>9</v>
      </c>
      <c r="C646" s="0" t="s">
        <v>37</v>
      </c>
      <c r="D646" s="0" t="n">
        <v>0</v>
      </c>
      <c r="E646" s="0" t="n">
        <v>0</v>
      </c>
      <c r="F646" s="0" t="n">
        <v>1.53999999999999</v>
      </c>
      <c r="H646" s="0" t="n">
        <v>0</v>
      </c>
      <c r="I646" s="0" t="n">
        <v>0</v>
      </c>
      <c r="J646" s="0" t="n">
        <v>0</v>
      </c>
      <c r="K646" s="0" t="n">
        <v>0</v>
      </c>
    </row>
    <row r="647" customFormat="false" ht="15" hidden="false" customHeight="false" outlineLevel="0" collapsed="false">
      <c r="A647" s="0" t="n">
        <v>2025</v>
      </c>
      <c r="B647" s="0" t="n">
        <v>10</v>
      </c>
      <c r="C647" s="0" t="s">
        <v>37</v>
      </c>
      <c r="H647" s="0" t="n">
        <v>0</v>
      </c>
      <c r="J647" s="0" t="n">
        <v>0</v>
      </c>
      <c r="K647" s="0" t="n">
        <v>0</v>
      </c>
    </row>
    <row r="648" customFormat="false" ht="15" hidden="false" customHeight="false" outlineLevel="0" collapsed="false">
      <c r="A648" s="0" t="n">
        <v>2025</v>
      </c>
      <c r="B648" s="0" t="n">
        <v>11</v>
      </c>
      <c r="C648" s="0" t="s">
        <v>37</v>
      </c>
      <c r="H648" s="0" t="n">
        <v>0</v>
      </c>
      <c r="J648" s="0" t="n">
        <v>0</v>
      </c>
      <c r="K648" s="0" t="n">
        <v>0</v>
      </c>
    </row>
    <row r="649" customFormat="false" ht="15" hidden="false" customHeight="false" outlineLevel="0" collapsed="false">
      <c r="A649" s="0" t="n">
        <v>2025</v>
      </c>
      <c r="B649" s="0" t="n">
        <v>12</v>
      </c>
      <c r="C649" s="0" t="s">
        <v>37</v>
      </c>
      <c r="H649" s="0" t="n">
        <v>0</v>
      </c>
      <c r="J649" s="0" t="n">
        <v>0</v>
      </c>
      <c r="K649" s="0" t="n">
        <v>0</v>
      </c>
    </row>
    <row r="650" customFormat="false" ht="15" hidden="false" customHeight="false" outlineLevel="0" collapsed="false">
      <c r="A650" s="0" t="n">
        <v>2024</v>
      </c>
      <c r="B650" s="0" t="n">
        <v>1</v>
      </c>
      <c r="C650" s="0" t="s">
        <v>38</v>
      </c>
      <c r="D650" s="0" t="n">
        <v>0</v>
      </c>
      <c r="E650" s="0" t="n">
        <v>0</v>
      </c>
      <c r="H650" s="0" t="n">
        <v>0.2557</v>
      </c>
      <c r="J650" s="0" t="n">
        <v>64934</v>
      </c>
      <c r="K650" s="0" t="n">
        <v>16601.39</v>
      </c>
    </row>
    <row r="651" customFormat="false" ht="15" hidden="false" customHeight="false" outlineLevel="0" collapsed="false">
      <c r="A651" s="0" t="n">
        <v>2024</v>
      </c>
      <c r="B651" s="0" t="n">
        <v>2</v>
      </c>
      <c r="C651" s="0" t="s">
        <v>38</v>
      </c>
      <c r="D651" s="0" t="n">
        <v>0</v>
      </c>
      <c r="E651" s="0" t="n">
        <v>0</v>
      </c>
      <c r="H651" s="0" t="n">
        <v>0.2378</v>
      </c>
      <c r="J651" s="0" t="n">
        <v>71197</v>
      </c>
      <c r="K651" s="0" t="n">
        <v>16934</v>
      </c>
    </row>
    <row r="652" customFormat="false" ht="15" hidden="false" customHeight="false" outlineLevel="0" collapsed="false">
      <c r="A652" s="0" t="n">
        <v>2024</v>
      </c>
      <c r="B652" s="0" t="n">
        <v>3</v>
      </c>
      <c r="C652" s="0" t="s">
        <v>38</v>
      </c>
      <c r="D652" s="0" t="n">
        <v>31.5</v>
      </c>
      <c r="E652" s="0" t="n">
        <v>8776</v>
      </c>
      <c r="H652" s="0" t="n">
        <v>0.2428</v>
      </c>
      <c r="J652" s="0" t="n">
        <v>51152</v>
      </c>
      <c r="K652" s="0" t="n">
        <v>12419.74</v>
      </c>
    </row>
    <row r="653" customFormat="false" ht="15" hidden="false" customHeight="false" outlineLevel="0" collapsed="false">
      <c r="A653" s="0" t="n">
        <v>2024</v>
      </c>
      <c r="B653" s="0" t="n">
        <v>4</v>
      </c>
      <c r="C653" s="0" t="s">
        <v>38</v>
      </c>
      <c r="D653" s="0" t="n">
        <v>59.14</v>
      </c>
      <c r="E653" s="0" t="n">
        <v>17533</v>
      </c>
      <c r="H653" s="0" t="n">
        <v>0.2416</v>
      </c>
      <c r="J653" s="0" t="n">
        <v>45316</v>
      </c>
      <c r="K653" s="0" t="n">
        <v>10948.47</v>
      </c>
    </row>
    <row r="654" customFormat="false" ht="15" hidden="false" customHeight="false" outlineLevel="0" collapsed="false">
      <c r="A654" s="0" t="n">
        <v>2024</v>
      </c>
      <c r="B654" s="0" t="n">
        <v>5</v>
      </c>
      <c r="C654" s="0" t="s">
        <v>38</v>
      </c>
      <c r="D654" s="0" t="n">
        <v>0</v>
      </c>
      <c r="E654" s="0" t="n">
        <v>0</v>
      </c>
      <c r="H654" s="0" t="n">
        <v>0.2507</v>
      </c>
      <c r="J654" s="0" t="n">
        <v>51330</v>
      </c>
      <c r="K654" s="0" t="n">
        <v>12868.58</v>
      </c>
    </row>
    <row r="655" customFormat="false" ht="15" hidden="false" customHeight="false" outlineLevel="0" collapsed="false">
      <c r="A655" s="0" t="n">
        <v>2024</v>
      </c>
      <c r="B655" s="0" t="n">
        <v>6</v>
      </c>
      <c r="C655" s="0" t="s">
        <v>38</v>
      </c>
      <c r="D655" s="0" t="n">
        <v>23.68</v>
      </c>
      <c r="E655" s="0" t="n">
        <v>8650</v>
      </c>
      <c r="H655" s="0" t="n">
        <v>0.2722</v>
      </c>
      <c r="J655" s="0" t="n">
        <v>42151</v>
      </c>
      <c r="K655" s="0" t="n">
        <v>11473.9</v>
      </c>
    </row>
    <row r="656" customFormat="false" ht="15" hidden="false" customHeight="false" outlineLevel="0" collapsed="false">
      <c r="A656" s="0" t="n">
        <v>2024</v>
      </c>
      <c r="B656" s="0" t="n">
        <v>7</v>
      </c>
      <c r="C656" s="0" t="s">
        <v>38</v>
      </c>
      <c r="D656" s="0" t="n">
        <v>92.83</v>
      </c>
      <c r="E656" s="0" t="n">
        <v>33000</v>
      </c>
      <c r="H656" s="0" t="n">
        <v>0.287</v>
      </c>
      <c r="J656" s="0" t="n">
        <v>67581</v>
      </c>
      <c r="K656" s="0" t="n">
        <v>19396.73</v>
      </c>
    </row>
    <row r="657" customFormat="false" ht="15" hidden="false" customHeight="false" outlineLevel="0" collapsed="false">
      <c r="A657" s="0" t="n">
        <v>2024</v>
      </c>
      <c r="B657" s="0" t="n">
        <v>8</v>
      </c>
      <c r="C657" s="0" t="s">
        <v>38</v>
      </c>
      <c r="D657" s="0" t="n">
        <v>0</v>
      </c>
      <c r="E657" s="0" t="n">
        <v>0</v>
      </c>
      <c r="H657" s="0" t="n">
        <v>0.3047</v>
      </c>
      <c r="J657" s="0" t="n">
        <v>44796</v>
      </c>
      <c r="K657" s="0" t="n">
        <v>13651.04</v>
      </c>
    </row>
    <row r="658" customFormat="false" ht="15" hidden="false" customHeight="false" outlineLevel="0" collapsed="false">
      <c r="A658" s="0" t="n">
        <v>2024</v>
      </c>
      <c r="B658" s="0" t="n">
        <v>9</v>
      </c>
      <c r="C658" s="0" t="s">
        <v>38</v>
      </c>
      <c r="D658" s="0" t="n">
        <v>20.83</v>
      </c>
      <c r="E658" s="0" t="n">
        <v>4500</v>
      </c>
      <c r="H658" s="0" t="n">
        <v>0.2904</v>
      </c>
      <c r="J658" s="0" t="n">
        <v>52599</v>
      </c>
      <c r="K658" s="0" t="n">
        <v>15277.15</v>
      </c>
    </row>
    <row r="659" customFormat="false" ht="15" hidden="false" customHeight="false" outlineLevel="0" collapsed="false">
      <c r="A659" s="0" t="n">
        <v>2024</v>
      </c>
      <c r="B659" s="0" t="n">
        <v>10</v>
      </c>
      <c r="C659" s="0" t="s">
        <v>38</v>
      </c>
      <c r="D659" s="0" t="n">
        <v>5.2</v>
      </c>
      <c r="E659" s="0" t="n">
        <v>1970</v>
      </c>
      <c r="H659" s="0" t="n">
        <v>0.2856</v>
      </c>
      <c r="J659" s="0" t="n">
        <v>54362</v>
      </c>
      <c r="K659" s="0" t="n">
        <v>15523.99</v>
      </c>
    </row>
    <row r="660" customFormat="false" ht="15" hidden="false" customHeight="false" outlineLevel="0" collapsed="false">
      <c r="A660" s="0" t="n">
        <v>2024</v>
      </c>
      <c r="B660" s="0" t="n">
        <v>11</v>
      </c>
      <c r="C660" s="0" t="s">
        <v>38</v>
      </c>
      <c r="H660" s="0" t="n">
        <v>0.307</v>
      </c>
      <c r="I660" s="0" t="n">
        <v>0</v>
      </c>
      <c r="J660" s="0" t="n">
        <v>64157</v>
      </c>
      <c r="K660" s="0" t="n">
        <v>19751.41</v>
      </c>
    </row>
    <row r="661" customFormat="false" ht="15" hidden="false" customHeight="false" outlineLevel="0" collapsed="false">
      <c r="A661" s="0" t="n">
        <v>2024</v>
      </c>
      <c r="B661" s="0" t="n">
        <v>12</v>
      </c>
      <c r="C661" s="0" t="s">
        <v>38</v>
      </c>
      <c r="H661" s="0" t="n">
        <v>0.331</v>
      </c>
      <c r="I661" s="0" t="n">
        <v>0</v>
      </c>
      <c r="J661" s="0" t="n">
        <v>51593</v>
      </c>
      <c r="K661" s="0" t="n">
        <v>17063.94</v>
      </c>
    </row>
    <row r="662" customFormat="false" ht="15" hidden="false" customHeight="false" outlineLevel="0" collapsed="false">
      <c r="A662" s="0" t="n">
        <v>2025</v>
      </c>
      <c r="B662" s="0" t="n">
        <v>1</v>
      </c>
      <c r="C662" s="0" t="s">
        <v>38</v>
      </c>
      <c r="H662" s="0" t="n">
        <v>0.335</v>
      </c>
      <c r="I662" s="0" t="n">
        <v>0</v>
      </c>
      <c r="J662" s="0" t="n">
        <v>61904</v>
      </c>
      <c r="K662" s="0" t="n">
        <v>20875.39</v>
      </c>
    </row>
    <row r="663" customFormat="false" ht="15" hidden="false" customHeight="false" outlineLevel="0" collapsed="false">
      <c r="A663" s="0" t="n">
        <v>2025</v>
      </c>
      <c r="B663" s="0" t="n">
        <v>2</v>
      </c>
      <c r="C663" s="0" t="s">
        <v>38</v>
      </c>
      <c r="H663" s="0" t="n">
        <v>0.334</v>
      </c>
      <c r="I663" s="0" t="n">
        <v>0</v>
      </c>
      <c r="J663" s="0" t="n">
        <v>60366</v>
      </c>
      <c r="K663" s="0" t="n">
        <v>20173.7</v>
      </c>
    </row>
    <row r="664" customFormat="false" ht="15" hidden="false" customHeight="false" outlineLevel="0" collapsed="false">
      <c r="A664" s="0" t="n">
        <v>2025</v>
      </c>
      <c r="B664" s="0" t="n">
        <v>3</v>
      </c>
      <c r="C664" s="0" t="s">
        <v>38</v>
      </c>
      <c r="H664" s="0" t="n">
        <v>0.286</v>
      </c>
      <c r="I664" s="0" t="n">
        <v>0</v>
      </c>
      <c r="J664" s="0" t="n">
        <v>58209</v>
      </c>
      <c r="K664" s="0" t="n">
        <v>16648.58</v>
      </c>
    </row>
    <row r="665" customFormat="false" ht="15" hidden="false" customHeight="false" outlineLevel="0" collapsed="false">
      <c r="A665" s="0" t="n">
        <v>2025</v>
      </c>
      <c r="B665" s="0" t="n">
        <v>4</v>
      </c>
      <c r="C665" s="0" t="s">
        <v>38</v>
      </c>
      <c r="H665" s="0" t="n">
        <v>0.2655</v>
      </c>
      <c r="I665" s="0" t="n">
        <v>0</v>
      </c>
      <c r="J665" s="0" t="n">
        <v>41269</v>
      </c>
      <c r="K665" s="0" t="n">
        <v>10956.7</v>
      </c>
    </row>
    <row r="666" customFormat="false" ht="15" hidden="false" customHeight="false" outlineLevel="0" collapsed="false">
      <c r="A666" s="0" t="n">
        <v>2025</v>
      </c>
      <c r="B666" s="0" t="n">
        <v>5</v>
      </c>
      <c r="C666" s="0" t="s">
        <v>38</v>
      </c>
      <c r="H666" s="0" t="n">
        <v>0.2575</v>
      </c>
      <c r="I666" s="0" t="n">
        <v>0</v>
      </c>
      <c r="J666" s="0" t="n">
        <v>30809</v>
      </c>
      <c r="K666" s="0" t="n">
        <v>7932.95</v>
      </c>
    </row>
    <row r="667" customFormat="false" ht="15" hidden="false" customHeight="false" outlineLevel="0" collapsed="false">
      <c r="A667" s="0" t="n">
        <v>2025</v>
      </c>
      <c r="B667" s="0" t="n">
        <v>6</v>
      </c>
      <c r="C667" s="0" t="s">
        <v>38</v>
      </c>
      <c r="H667" s="0" t="n">
        <v>0.355</v>
      </c>
      <c r="I667" s="0" t="n">
        <v>0</v>
      </c>
      <c r="J667" s="0" t="n">
        <v>33644</v>
      </c>
      <c r="K667" s="0" t="n">
        <v>11949.42</v>
      </c>
    </row>
    <row r="668" customFormat="false" ht="15" hidden="false" customHeight="false" outlineLevel="0" collapsed="false">
      <c r="A668" s="0" t="n">
        <v>2025</v>
      </c>
      <c r="B668" s="0" t="n">
        <v>7</v>
      </c>
      <c r="C668" s="0" t="s">
        <v>38</v>
      </c>
      <c r="H668" s="0" t="n">
        <v>0.296</v>
      </c>
      <c r="I668" s="0" t="n">
        <v>0</v>
      </c>
      <c r="J668" s="0" t="n">
        <v>51483</v>
      </c>
      <c r="K668" s="0" t="n">
        <v>15262.33</v>
      </c>
    </row>
    <row r="669" customFormat="false" ht="15" hidden="false" customHeight="false" outlineLevel="0" collapsed="false">
      <c r="A669" s="0" t="n">
        <v>2025</v>
      </c>
      <c r="B669" s="0" t="n">
        <v>8</v>
      </c>
      <c r="C669" s="0" t="s">
        <v>38</v>
      </c>
      <c r="H669" s="0" t="n">
        <v>0.3268</v>
      </c>
      <c r="I669" s="0" t="n">
        <v>0</v>
      </c>
      <c r="J669" s="0" t="n">
        <v>17650</v>
      </c>
      <c r="K669" s="0" t="n">
        <v>5768.63</v>
      </c>
    </row>
    <row r="670" customFormat="false" ht="15" hidden="false" customHeight="false" outlineLevel="0" collapsed="false">
      <c r="A670" s="0" t="n">
        <v>2025</v>
      </c>
      <c r="B670" s="0" t="n">
        <v>9</v>
      </c>
      <c r="C670" s="0" t="s">
        <v>38</v>
      </c>
      <c r="D670" s="0" t="n">
        <v>0</v>
      </c>
      <c r="E670" s="0" t="n">
        <v>0</v>
      </c>
      <c r="H670" s="0" t="n">
        <v>0</v>
      </c>
      <c r="J670" s="0" t="n">
        <v>0</v>
      </c>
      <c r="K670" s="0" t="n">
        <v>0</v>
      </c>
    </row>
    <row r="671" customFormat="false" ht="15" hidden="false" customHeight="false" outlineLevel="0" collapsed="false">
      <c r="A671" s="0" t="n">
        <v>2025</v>
      </c>
      <c r="B671" s="0" t="n">
        <v>10</v>
      </c>
      <c r="C671" s="0" t="s">
        <v>38</v>
      </c>
      <c r="H671" s="0" t="n">
        <v>0</v>
      </c>
      <c r="J671" s="0" t="n">
        <v>0</v>
      </c>
      <c r="K671" s="0" t="n">
        <v>0</v>
      </c>
    </row>
    <row r="672" customFormat="false" ht="15" hidden="false" customHeight="false" outlineLevel="0" collapsed="false">
      <c r="A672" s="0" t="n">
        <v>2025</v>
      </c>
      <c r="B672" s="0" t="n">
        <v>11</v>
      </c>
      <c r="C672" s="0" t="s">
        <v>38</v>
      </c>
      <c r="H672" s="0" t="n">
        <v>0</v>
      </c>
      <c r="J672" s="0" t="n">
        <v>0</v>
      </c>
      <c r="K672" s="0" t="n">
        <v>0</v>
      </c>
    </row>
    <row r="673" customFormat="false" ht="15" hidden="false" customHeight="false" outlineLevel="0" collapsed="false">
      <c r="A673" s="0" t="n">
        <v>2025</v>
      </c>
      <c r="B673" s="0" t="n">
        <v>12</v>
      </c>
      <c r="C673" s="0" t="s">
        <v>38</v>
      </c>
      <c r="H673" s="0" t="n">
        <v>0</v>
      </c>
      <c r="J673" s="0" t="n">
        <v>0</v>
      </c>
      <c r="K673" s="0" t="n">
        <v>0</v>
      </c>
    </row>
    <row r="674" customFormat="false" ht="15" hidden="false" customHeight="false" outlineLevel="0" collapsed="false">
      <c r="A674" s="0" t="n">
        <v>2024</v>
      </c>
      <c r="B674" s="0" t="n">
        <v>1</v>
      </c>
      <c r="C674" s="0" t="s">
        <v>39</v>
      </c>
      <c r="D674" s="0" t="n">
        <v>29.92</v>
      </c>
      <c r="E674" s="0" t="n">
        <v>4000</v>
      </c>
      <c r="H674" s="0" t="n">
        <v>0.2557</v>
      </c>
      <c r="J674" s="0" t="n">
        <v>64934</v>
      </c>
      <c r="K674" s="0" t="n">
        <v>16601.39</v>
      </c>
    </row>
    <row r="675" customFormat="false" ht="15" hidden="false" customHeight="false" outlineLevel="0" collapsed="false">
      <c r="A675" s="0" t="n">
        <v>2024</v>
      </c>
      <c r="B675" s="0" t="n">
        <v>2</v>
      </c>
      <c r="C675" s="0" t="s">
        <v>39</v>
      </c>
      <c r="D675" s="0" t="n">
        <v>43</v>
      </c>
      <c r="E675" s="0" t="n">
        <v>51840</v>
      </c>
      <c r="H675" s="0" t="n">
        <v>0.2378</v>
      </c>
      <c r="J675" s="0" t="n">
        <v>71197</v>
      </c>
      <c r="K675" s="0" t="n">
        <v>16934</v>
      </c>
    </row>
    <row r="676" customFormat="false" ht="15" hidden="false" customHeight="false" outlineLevel="0" collapsed="false">
      <c r="A676" s="0" t="n">
        <v>2024</v>
      </c>
      <c r="B676" s="0" t="n">
        <v>3</v>
      </c>
      <c r="C676" s="0" t="s">
        <v>39</v>
      </c>
      <c r="D676" s="0" t="n">
        <v>171.23</v>
      </c>
      <c r="E676" s="0" t="n">
        <v>45252</v>
      </c>
      <c r="H676" s="0" t="n">
        <v>0.2428</v>
      </c>
      <c r="J676" s="0" t="n">
        <v>51152</v>
      </c>
      <c r="K676" s="0" t="n">
        <v>12419.74</v>
      </c>
    </row>
    <row r="677" customFormat="false" ht="15" hidden="false" customHeight="false" outlineLevel="0" collapsed="false">
      <c r="A677" s="0" t="n">
        <v>2024</v>
      </c>
      <c r="B677" s="0" t="n">
        <v>4</v>
      </c>
      <c r="C677" s="0" t="s">
        <v>39</v>
      </c>
      <c r="D677" s="0" t="n">
        <v>196.26</v>
      </c>
      <c r="E677" s="0" t="n">
        <v>92812</v>
      </c>
      <c r="H677" s="0" t="n">
        <v>0.2416</v>
      </c>
      <c r="J677" s="0" t="n">
        <v>45316</v>
      </c>
      <c r="K677" s="0" t="n">
        <v>10948.47</v>
      </c>
    </row>
    <row r="678" customFormat="false" ht="15" hidden="false" customHeight="false" outlineLevel="0" collapsed="false">
      <c r="A678" s="0" t="n">
        <v>2024</v>
      </c>
      <c r="B678" s="0" t="n">
        <v>5</v>
      </c>
      <c r="C678" s="0" t="s">
        <v>39</v>
      </c>
      <c r="D678" s="0" t="n">
        <v>172.31</v>
      </c>
      <c r="E678" s="0" t="n">
        <v>116091</v>
      </c>
      <c r="H678" s="0" t="n">
        <v>0.2507</v>
      </c>
      <c r="J678" s="0" t="n">
        <v>51330</v>
      </c>
      <c r="K678" s="0" t="n">
        <v>12868.58</v>
      </c>
    </row>
    <row r="679" customFormat="false" ht="15" hidden="false" customHeight="false" outlineLevel="0" collapsed="false">
      <c r="A679" s="0" t="n">
        <v>2024</v>
      </c>
      <c r="B679" s="0" t="n">
        <v>6</v>
      </c>
      <c r="C679" s="0" t="s">
        <v>39</v>
      </c>
      <c r="D679" s="0" t="n">
        <v>77.91</v>
      </c>
      <c r="E679" s="0" t="n">
        <v>53400</v>
      </c>
      <c r="H679" s="0" t="n">
        <v>0.2722</v>
      </c>
      <c r="J679" s="0" t="n">
        <v>42151</v>
      </c>
      <c r="K679" s="0" t="n">
        <v>11473.9</v>
      </c>
    </row>
    <row r="680" customFormat="false" ht="15" hidden="false" customHeight="false" outlineLevel="0" collapsed="false">
      <c r="A680" s="0" t="n">
        <v>2024</v>
      </c>
      <c r="B680" s="0" t="n">
        <v>7</v>
      </c>
      <c r="C680" s="0" t="s">
        <v>39</v>
      </c>
      <c r="D680" s="0" t="n">
        <v>148.85</v>
      </c>
      <c r="E680" s="0" t="n">
        <v>62642</v>
      </c>
      <c r="H680" s="0" t="n">
        <v>0.287</v>
      </c>
      <c r="J680" s="0" t="n">
        <v>67581</v>
      </c>
      <c r="K680" s="0" t="n">
        <v>19396.73</v>
      </c>
    </row>
    <row r="681" customFormat="false" ht="15" hidden="false" customHeight="false" outlineLevel="0" collapsed="false">
      <c r="A681" s="0" t="n">
        <v>2024</v>
      </c>
      <c r="B681" s="0" t="n">
        <v>8</v>
      </c>
      <c r="C681" s="0" t="s">
        <v>39</v>
      </c>
      <c r="D681" s="0" t="n">
        <v>111.53</v>
      </c>
      <c r="E681" s="0" t="n">
        <v>68332</v>
      </c>
      <c r="H681" s="0" t="n">
        <v>0.3047</v>
      </c>
      <c r="J681" s="0" t="n">
        <v>44796</v>
      </c>
      <c r="K681" s="0" t="n">
        <v>13651.04</v>
      </c>
    </row>
    <row r="682" customFormat="false" ht="15" hidden="false" customHeight="false" outlineLevel="0" collapsed="false">
      <c r="A682" s="0" t="n">
        <v>2024</v>
      </c>
      <c r="B682" s="0" t="n">
        <v>9</v>
      </c>
      <c r="C682" s="0" t="s">
        <v>39</v>
      </c>
      <c r="D682" s="0" t="n">
        <v>43.69</v>
      </c>
      <c r="E682" s="0" t="n">
        <v>23528</v>
      </c>
      <c r="H682" s="0" t="n">
        <v>0.2904</v>
      </c>
      <c r="J682" s="0" t="n">
        <v>52599</v>
      </c>
      <c r="K682" s="0" t="n">
        <v>15277.15</v>
      </c>
    </row>
    <row r="683" customFormat="false" ht="15" hidden="false" customHeight="false" outlineLevel="0" collapsed="false">
      <c r="A683" s="0" t="n">
        <v>2024</v>
      </c>
      <c r="B683" s="0" t="n">
        <v>10</v>
      </c>
      <c r="C683" s="0" t="s">
        <v>39</v>
      </c>
      <c r="D683" s="0" t="n">
        <v>91.06</v>
      </c>
      <c r="E683" s="0" t="n">
        <v>52681</v>
      </c>
      <c r="H683" s="0" t="n">
        <v>0.2856</v>
      </c>
      <c r="J683" s="0" t="n">
        <v>54362</v>
      </c>
      <c r="K683" s="0" t="n">
        <v>15523.99</v>
      </c>
    </row>
    <row r="684" customFormat="false" ht="15" hidden="false" customHeight="false" outlineLevel="0" collapsed="false">
      <c r="A684" s="0" t="n">
        <v>2024</v>
      </c>
      <c r="B684" s="0" t="n">
        <v>11</v>
      </c>
      <c r="C684" s="0" t="s">
        <v>39</v>
      </c>
      <c r="D684" s="0" t="n">
        <v>96.7</v>
      </c>
      <c r="E684" s="0" t="n">
        <v>62726</v>
      </c>
      <c r="F684" s="0" t="n">
        <v>534.46</v>
      </c>
      <c r="H684" s="0" t="n">
        <v>0.307</v>
      </c>
      <c r="I684" s="0" t="n">
        <v>164.07922</v>
      </c>
      <c r="J684" s="0" t="n">
        <v>64157</v>
      </c>
      <c r="K684" s="0" t="n">
        <v>19751.41</v>
      </c>
    </row>
    <row r="685" customFormat="false" ht="15" hidden="false" customHeight="false" outlineLevel="0" collapsed="false">
      <c r="A685" s="0" t="n">
        <v>2024</v>
      </c>
      <c r="B685" s="0" t="n">
        <v>12</v>
      </c>
      <c r="C685" s="0" t="s">
        <v>39</v>
      </c>
      <c r="D685" s="0" t="n">
        <v>72.1</v>
      </c>
      <c r="E685" s="0" t="n">
        <v>30052</v>
      </c>
      <c r="F685" s="0" t="n">
        <v>365.86</v>
      </c>
      <c r="H685" s="0" t="n">
        <v>0.331</v>
      </c>
      <c r="I685" s="0" t="n">
        <v>121.09966</v>
      </c>
      <c r="J685" s="0" t="n">
        <v>51593</v>
      </c>
      <c r="K685" s="0" t="n">
        <v>17063.94</v>
      </c>
    </row>
    <row r="686" customFormat="false" ht="15" hidden="false" customHeight="false" outlineLevel="0" collapsed="false">
      <c r="A686" s="0" t="n">
        <v>2025</v>
      </c>
      <c r="B686" s="0" t="n">
        <v>1</v>
      </c>
      <c r="C686" s="0" t="s">
        <v>39</v>
      </c>
      <c r="D686" s="0" t="n">
        <v>60.2</v>
      </c>
      <c r="E686" s="0" t="n">
        <v>33464</v>
      </c>
      <c r="F686" s="0" t="n">
        <v>354.55</v>
      </c>
      <c r="H686" s="0" t="n">
        <v>0.335</v>
      </c>
      <c r="I686" s="0" t="n">
        <v>118.77425</v>
      </c>
      <c r="J686" s="0" t="n">
        <v>61904</v>
      </c>
      <c r="K686" s="0" t="n">
        <v>20875.39</v>
      </c>
    </row>
    <row r="687" customFormat="false" ht="15" hidden="false" customHeight="false" outlineLevel="0" collapsed="false">
      <c r="A687" s="0" t="n">
        <v>2025</v>
      </c>
      <c r="B687" s="0" t="n">
        <v>2</v>
      </c>
      <c r="C687" s="0" t="s">
        <v>39</v>
      </c>
      <c r="D687" s="0" t="n">
        <v>87.3</v>
      </c>
      <c r="E687" s="0" t="n">
        <v>49428</v>
      </c>
      <c r="F687" s="0" t="n">
        <v>478.04</v>
      </c>
      <c r="H687" s="0" t="n">
        <v>0.334</v>
      </c>
      <c r="I687" s="0" t="n">
        <v>159.66536</v>
      </c>
      <c r="J687" s="0" t="n">
        <v>60366</v>
      </c>
      <c r="K687" s="0" t="n">
        <v>20173.7</v>
      </c>
    </row>
    <row r="688" customFormat="false" ht="15" hidden="false" customHeight="false" outlineLevel="0" collapsed="false">
      <c r="A688" s="0" t="n">
        <v>2025</v>
      </c>
      <c r="B688" s="0" t="n">
        <v>3</v>
      </c>
      <c r="C688" s="0" t="s">
        <v>39</v>
      </c>
      <c r="D688" s="0" t="n">
        <v>83.4</v>
      </c>
      <c r="E688" s="0" t="n">
        <v>54715</v>
      </c>
      <c r="F688" s="0" t="n">
        <v>491.07</v>
      </c>
      <c r="H688" s="0" t="n">
        <v>0.286</v>
      </c>
      <c r="I688" s="0" t="n">
        <v>140.44602</v>
      </c>
      <c r="J688" s="0" t="n">
        <v>58209</v>
      </c>
      <c r="K688" s="0" t="n">
        <v>16648.58</v>
      </c>
    </row>
    <row r="689" customFormat="false" ht="15" hidden="false" customHeight="false" outlineLevel="0" collapsed="false">
      <c r="A689" s="0" t="n">
        <v>2025</v>
      </c>
      <c r="B689" s="0" t="n">
        <v>4</v>
      </c>
      <c r="C689" s="0" t="s">
        <v>39</v>
      </c>
      <c r="D689" s="0" t="n">
        <v>93.2</v>
      </c>
      <c r="E689" s="0" t="n">
        <v>66697</v>
      </c>
      <c r="F689" s="0" t="n">
        <v>526.98</v>
      </c>
      <c r="H689" s="0" t="n">
        <v>0.2655</v>
      </c>
      <c r="I689" s="0" t="n">
        <v>139.91319</v>
      </c>
      <c r="J689" s="0" t="n">
        <v>41269</v>
      </c>
      <c r="K689" s="0" t="n">
        <v>10956.7</v>
      </c>
    </row>
    <row r="690" customFormat="false" ht="15" hidden="false" customHeight="false" outlineLevel="0" collapsed="false">
      <c r="A690" s="0" t="n">
        <v>2025</v>
      </c>
      <c r="B690" s="0" t="n">
        <v>5</v>
      </c>
      <c r="C690" s="0" t="s">
        <v>39</v>
      </c>
      <c r="D690" s="0" t="n">
        <v>68.5</v>
      </c>
      <c r="E690" s="0" t="n">
        <v>28642</v>
      </c>
      <c r="F690" s="0" t="n">
        <v>288.94</v>
      </c>
      <c r="H690" s="0" t="n">
        <v>0.2575</v>
      </c>
      <c r="I690" s="0" t="n">
        <v>74.40205</v>
      </c>
      <c r="J690" s="0" t="n">
        <v>30809</v>
      </c>
      <c r="K690" s="0" t="n">
        <v>7932.95</v>
      </c>
    </row>
    <row r="691" customFormat="false" ht="15" hidden="false" customHeight="false" outlineLevel="0" collapsed="false">
      <c r="A691" s="0" t="n">
        <v>2025</v>
      </c>
      <c r="B691" s="0" t="n">
        <v>6</v>
      </c>
      <c r="C691" s="0" t="s">
        <v>39</v>
      </c>
      <c r="D691" s="0" t="n">
        <v>367.4</v>
      </c>
      <c r="E691" s="0" t="n">
        <v>7844</v>
      </c>
      <c r="F691" s="0" t="n">
        <v>72.52</v>
      </c>
      <c r="H691" s="0" t="n">
        <v>0.355</v>
      </c>
      <c r="I691" s="0" t="n">
        <v>25.7446</v>
      </c>
      <c r="J691" s="0" t="n">
        <v>33644</v>
      </c>
      <c r="K691" s="0" t="n">
        <v>11949.42</v>
      </c>
    </row>
    <row r="692" customFormat="false" ht="15" hidden="false" customHeight="false" outlineLevel="0" collapsed="false">
      <c r="A692" s="0" t="n">
        <v>2025</v>
      </c>
      <c r="B692" s="0" t="n">
        <v>7</v>
      </c>
      <c r="C692" s="0" t="s">
        <v>39</v>
      </c>
      <c r="D692" s="0" t="n">
        <v>5.2</v>
      </c>
      <c r="E692" s="0" t="n">
        <v>2000</v>
      </c>
      <c r="F692" s="0" t="n">
        <v>45.5300000000002</v>
      </c>
      <c r="H692" s="0" t="n">
        <v>0.296</v>
      </c>
      <c r="I692" s="0" t="n">
        <v>13.4768800000001</v>
      </c>
      <c r="J692" s="0" t="n">
        <v>51483</v>
      </c>
      <c r="K692" s="0" t="n">
        <v>15262.33</v>
      </c>
    </row>
    <row r="693" customFormat="false" ht="15" hidden="false" customHeight="false" outlineLevel="0" collapsed="false">
      <c r="A693" s="0" t="n">
        <v>2025</v>
      </c>
      <c r="B693" s="0" t="n">
        <v>8</v>
      </c>
      <c r="C693" s="0" t="s">
        <v>39</v>
      </c>
      <c r="D693" s="0" t="n">
        <v>2.83</v>
      </c>
      <c r="E693" s="0" t="n">
        <v>2266</v>
      </c>
      <c r="F693" s="0" t="n">
        <v>16.06</v>
      </c>
      <c r="H693" s="0" t="n">
        <v>0.3268</v>
      </c>
      <c r="I693" s="0" t="n">
        <v>5.24840799999998</v>
      </c>
      <c r="J693" s="0" t="n">
        <v>17650</v>
      </c>
      <c r="K693" s="0" t="n">
        <v>5768.63</v>
      </c>
    </row>
    <row r="694" customFormat="false" ht="15" hidden="false" customHeight="false" outlineLevel="0" collapsed="false">
      <c r="A694" s="0" t="n">
        <v>2025</v>
      </c>
      <c r="B694" s="0" t="n">
        <v>9</v>
      </c>
      <c r="C694" s="0" t="s">
        <v>39</v>
      </c>
      <c r="D694" s="0" t="n">
        <v>9.03</v>
      </c>
      <c r="E694" s="0" t="n">
        <v>5308</v>
      </c>
      <c r="F694" s="0" t="n">
        <v>113.23</v>
      </c>
      <c r="H694" s="0" t="n">
        <v>0</v>
      </c>
      <c r="I694" s="0" t="n">
        <v>0</v>
      </c>
      <c r="J694" s="0" t="n">
        <v>0</v>
      </c>
      <c r="K694" s="0" t="n">
        <v>0</v>
      </c>
    </row>
    <row r="695" customFormat="false" ht="15" hidden="false" customHeight="false" outlineLevel="0" collapsed="false">
      <c r="A695" s="0" t="n">
        <v>2025</v>
      </c>
      <c r="B695" s="0" t="n">
        <v>10</v>
      </c>
      <c r="C695" s="0" t="s">
        <v>39</v>
      </c>
      <c r="H695" s="0" t="n">
        <v>0</v>
      </c>
      <c r="I695" s="0" t="n">
        <v>0</v>
      </c>
      <c r="J695" s="0" t="n">
        <v>0</v>
      </c>
      <c r="K695" s="0" t="n">
        <v>0</v>
      </c>
    </row>
    <row r="696" customFormat="false" ht="15" hidden="false" customHeight="false" outlineLevel="0" collapsed="false">
      <c r="A696" s="0" t="n">
        <v>2025</v>
      </c>
      <c r="B696" s="0" t="n">
        <v>11</v>
      </c>
      <c r="C696" s="0" t="s">
        <v>39</v>
      </c>
      <c r="H696" s="0" t="n">
        <v>0</v>
      </c>
      <c r="I696" s="0" t="n">
        <v>0</v>
      </c>
      <c r="J696" s="0" t="n">
        <v>0</v>
      </c>
      <c r="K696" s="0" t="n">
        <v>0</v>
      </c>
    </row>
    <row r="697" customFormat="false" ht="15" hidden="false" customHeight="false" outlineLevel="0" collapsed="false">
      <c r="A697" s="0" t="n">
        <v>2025</v>
      </c>
      <c r="B697" s="0" t="n">
        <v>12</v>
      </c>
      <c r="C697" s="0" t="s">
        <v>39</v>
      </c>
      <c r="H697" s="0" t="n">
        <v>0</v>
      </c>
      <c r="I697" s="0" t="n">
        <v>0</v>
      </c>
      <c r="J697" s="0" t="n">
        <v>0</v>
      </c>
      <c r="K697" s="0" t="n">
        <v>0</v>
      </c>
    </row>
    <row r="698" customFormat="false" ht="15" hidden="false" customHeight="false" outlineLevel="0" collapsed="false">
      <c r="A698" s="0" t="n">
        <v>2024</v>
      </c>
      <c r="B698" s="0" t="n">
        <v>1</v>
      </c>
      <c r="C698" s="0" t="s">
        <v>40</v>
      </c>
      <c r="H698" s="0" t="n">
        <v>0.2557</v>
      </c>
      <c r="J698" s="0" t="n">
        <v>64934</v>
      </c>
      <c r="K698" s="0" t="n">
        <v>16601.39</v>
      </c>
    </row>
    <row r="699" customFormat="false" ht="15" hidden="false" customHeight="false" outlineLevel="0" collapsed="false">
      <c r="A699" s="0" t="n">
        <v>2024</v>
      </c>
      <c r="B699" s="0" t="n">
        <v>2</v>
      </c>
      <c r="C699" s="0" t="s">
        <v>40</v>
      </c>
      <c r="H699" s="0" t="n">
        <v>0.2378</v>
      </c>
      <c r="J699" s="0" t="n">
        <v>71197</v>
      </c>
      <c r="K699" s="0" t="n">
        <v>16934</v>
      </c>
    </row>
    <row r="700" customFormat="false" ht="15" hidden="false" customHeight="false" outlineLevel="0" collapsed="false">
      <c r="A700" s="0" t="n">
        <v>2024</v>
      </c>
      <c r="B700" s="0" t="n">
        <v>3</v>
      </c>
      <c r="C700" s="0" t="s">
        <v>40</v>
      </c>
      <c r="H700" s="0" t="n">
        <v>0.2428</v>
      </c>
      <c r="J700" s="0" t="n">
        <v>51152</v>
      </c>
      <c r="K700" s="0" t="n">
        <v>12419.74</v>
      </c>
    </row>
    <row r="701" customFormat="false" ht="15" hidden="false" customHeight="false" outlineLevel="0" collapsed="false">
      <c r="A701" s="0" t="n">
        <v>2024</v>
      </c>
      <c r="B701" s="0" t="n">
        <v>4</v>
      </c>
      <c r="C701" s="0" t="s">
        <v>40</v>
      </c>
      <c r="H701" s="0" t="n">
        <v>0.2416</v>
      </c>
      <c r="J701" s="0" t="n">
        <v>45316</v>
      </c>
      <c r="K701" s="0" t="n">
        <v>10948.47</v>
      </c>
    </row>
    <row r="702" customFormat="false" ht="15" hidden="false" customHeight="false" outlineLevel="0" collapsed="false">
      <c r="A702" s="0" t="n">
        <v>2024</v>
      </c>
      <c r="B702" s="0" t="n">
        <v>5</v>
      </c>
      <c r="C702" s="0" t="s">
        <v>40</v>
      </c>
      <c r="H702" s="0" t="n">
        <v>0.2507</v>
      </c>
      <c r="J702" s="0" t="n">
        <v>51330</v>
      </c>
      <c r="K702" s="0" t="n">
        <v>12868.58</v>
      </c>
    </row>
    <row r="703" customFormat="false" ht="15" hidden="false" customHeight="false" outlineLevel="0" collapsed="false">
      <c r="A703" s="0" t="n">
        <v>2024</v>
      </c>
      <c r="B703" s="0" t="n">
        <v>6</v>
      </c>
      <c r="C703" s="0" t="s">
        <v>40</v>
      </c>
      <c r="H703" s="0" t="n">
        <v>0.2722</v>
      </c>
      <c r="J703" s="0" t="n">
        <v>42151</v>
      </c>
      <c r="K703" s="0" t="n">
        <v>11473.9</v>
      </c>
    </row>
    <row r="704" customFormat="false" ht="15" hidden="false" customHeight="false" outlineLevel="0" collapsed="false">
      <c r="A704" s="0" t="n">
        <v>2024</v>
      </c>
      <c r="B704" s="0" t="n">
        <v>7</v>
      </c>
      <c r="C704" s="0" t="s">
        <v>40</v>
      </c>
      <c r="H704" s="0" t="n">
        <v>0.287</v>
      </c>
      <c r="J704" s="0" t="n">
        <v>67581</v>
      </c>
      <c r="K704" s="0" t="n">
        <v>19396.73</v>
      </c>
    </row>
    <row r="705" customFormat="false" ht="15" hidden="false" customHeight="false" outlineLevel="0" collapsed="false">
      <c r="A705" s="0" t="n">
        <v>2024</v>
      </c>
      <c r="B705" s="0" t="n">
        <v>8</v>
      </c>
      <c r="C705" s="0" t="s">
        <v>40</v>
      </c>
      <c r="H705" s="0" t="n">
        <v>0.3047</v>
      </c>
      <c r="J705" s="0" t="n">
        <v>44796</v>
      </c>
      <c r="K705" s="0" t="n">
        <v>13651.04</v>
      </c>
    </row>
    <row r="706" customFormat="false" ht="15" hidden="false" customHeight="false" outlineLevel="0" collapsed="false">
      <c r="A706" s="0" t="n">
        <v>2024</v>
      </c>
      <c r="B706" s="0" t="n">
        <v>9</v>
      </c>
      <c r="C706" s="0" t="s">
        <v>40</v>
      </c>
      <c r="H706" s="0" t="n">
        <v>0.2904</v>
      </c>
      <c r="J706" s="0" t="n">
        <v>52599</v>
      </c>
      <c r="K706" s="0" t="n">
        <v>15277.15</v>
      </c>
    </row>
    <row r="707" customFormat="false" ht="15" hidden="false" customHeight="false" outlineLevel="0" collapsed="false">
      <c r="A707" s="0" t="n">
        <v>2024</v>
      </c>
      <c r="B707" s="0" t="n">
        <v>10</v>
      </c>
      <c r="C707" s="0" t="s">
        <v>40</v>
      </c>
      <c r="H707" s="0" t="n">
        <v>0.2856</v>
      </c>
      <c r="J707" s="0" t="n">
        <v>54362</v>
      </c>
      <c r="K707" s="0" t="n">
        <v>15523.99</v>
      </c>
    </row>
    <row r="708" customFormat="false" ht="15" hidden="false" customHeight="false" outlineLevel="0" collapsed="false">
      <c r="A708" s="0" t="n">
        <v>2024</v>
      </c>
      <c r="B708" s="0" t="n">
        <v>11</v>
      </c>
      <c r="C708" s="0" t="s">
        <v>40</v>
      </c>
      <c r="F708" s="0" t="n">
        <v>10989.38</v>
      </c>
      <c r="G708" s="0" t="n">
        <v>10989.38</v>
      </c>
      <c r="H708" s="0" t="n">
        <v>0.307</v>
      </c>
      <c r="I708" s="0" t="n">
        <v>3373.73966</v>
      </c>
      <c r="J708" s="0" t="n">
        <v>64157</v>
      </c>
      <c r="K708" s="0" t="n">
        <v>19751.41</v>
      </c>
    </row>
    <row r="709" customFormat="false" ht="15" hidden="false" customHeight="false" outlineLevel="0" collapsed="false">
      <c r="A709" s="0" t="n">
        <v>2024</v>
      </c>
      <c r="B709" s="0" t="n">
        <v>12</v>
      </c>
      <c r="C709" s="0" t="s">
        <v>40</v>
      </c>
      <c r="F709" s="0" t="n">
        <v>8629.26</v>
      </c>
      <c r="G709" s="0" t="n">
        <v>8629.26</v>
      </c>
      <c r="H709" s="0" t="n">
        <v>0.331</v>
      </c>
      <c r="I709" s="0" t="n">
        <v>2856.28506</v>
      </c>
      <c r="J709" s="0" t="n">
        <v>51593</v>
      </c>
      <c r="K709" s="0" t="n">
        <v>17063.94</v>
      </c>
    </row>
    <row r="710" customFormat="false" ht="15" hidden="false" customHeight="false" outlineLevel="0" collapsed="false">
      <c r="A710" s="0" t="n">
        <v>2025</v>
      </c>
      <c r="B710" s="0" t="n">
        <v>1</v>
      </c>
      <c r="C710" s="0" t="s">
        <v>40</v>
      </c>
      <c r="F710" s="0" t="n">
        <v>8829.13</v>
      </c>
      <c r="G710" s="0" t="n">
        <v>8829.13</v>
      </c>
      <c r="H710" s="0" t="n">
        <v>0.335</v>
      </c>
      <c r="I710" s="0" t="n">
        <v>2957.75855</v>
      </c>
      <c r="J710" s="0" t="n">
        <v>61904</v>
      </c>
      <c r="K710" s="0" t="n">
        <v>20875.39</v>
      </c>
    </row>
    <row r="711" customFormat="false" ht="15" hidden="false" customHeight="false" outlineLevel="0" collapsed="false">
      <c r="A711" s="0" t="n">
        <v>2025</v>
      </c>
      <c r="B711" s="0" t="n">
        <v>2</v>
      </c>
      <c r="C711" s="0" t="s">
        <v>40</v>
      </c>
      <c r="F711" s="0" t="n">
        <v>9123.83</v>
      </c>
      <c r="G711" s="0" t="n">
        <v>9123.83</v>
      </c>
      <c r="H711" s="0" t="n">
        <v>0.334</v>
      </c>
      <c r="I711" s="0" t="n">
        <v>3047.35922</v>
      </c>
      <c r="J711" s="0" t="n">
        <v>60366</v>
      </c>
      <c r="K711" s="0" t="n">
        <v>20173.7</v>
      </c>
    </row>
    <row r="712" customFormat="false" ht="15" hidden="false" customHeight="false" outlineLevel="0" collapsed="false">
      <c r="A712" s="0" t="n">
        <v>2025</v>
      </c>
      <c r="B712" s="0" t="n">
        <v>3</v>
      </c>
      <c r="C712" s="0" t="s">
        <v>40</v>
      </c>
      <c r="F712" s="0" t="n">
        <v>10190.92</v>
      </c>
      <c r="G712" s="0" t="n">
        <v>10190.92</v>
      </c>
      <c r="H712" s="0" t="n">
        <v>0.286</v>
      </c>
      <c r="I712" s="0" t="n">
        <v>2914.60312</v>
      </c>
      <c r="J712" s="0" t="n">
        <v>58209</v>
      </c>
      <c r="K712" s="0" t="n">
        <v>16648.58</v>
      </c>
    </row>
    <row r="713" customFormat="false" ht="15" hidden="false" customHeight="false" outlineLevel="0" collapsed="false">
      <c r="A713" s="0" t="n">
        <v>2025</v>
      </c>
      <c r="B713" s="0" t="n">
        <v>4</v>
      </c>
      <c r="C713" s="0" t="s">
        <v>40</v>
      </c>
      <c r="F713" s="0" t="n">
        <v>8605.77</v>
      </c>
      <c r="G713" s="0" t="n">
        <v>8605.77</v>
      </c>
      <c r="H713" s="0" t="n">
        <v>0.2655</v>
      </c>
      <c r="I713" s="0" t="n">
        <v>2284.831935</v>
      </c>
      <c r="J713" s="0" t="n">
        <v>41269</v>
      </c>
      <c r="K713" s="0" t="n">
        <v>10956.7</v>
      </c>
    </row>
    <row r="714" customFormat="false" ht="15" hidden="false" customHeight="false" outlineLevel="0" collapsed="false">
      <c r="A714" s="0" t="n">
        <v>2025</v>
      </c>
      <c r="B714" s="0" t="n">
        <v>5</v>
      </c>
      <c r="C714" s="0" t="s">
        <v>40</v>
      </c>
      <c r="F714" s="0" t="n">
        <v>5978.01</v>
      </c>
      <c r="G714" s="0" t="n">
        <v>5978.01</v>
      </c>
      <c r="H714" s="0" t="n">
        <v>0.2575</v>
      </c>
      <c r="I714" s="0" t="n">
        <v>1539.337575</v>
      </c>
      <c r="J714" s="0" t="n">
        <v>30809</v>
      </c>
      <c r="K714" s="0" t="n">
        <v>7932.95</v>
      </c>
    </row>
    <row r="715" customFormat="false" ht="15" hidden="false" customHeight="false" outlineLevel="0" collapsed="false">
      <c r="A715" s="0" t="n">
        <v>2025</v>
      </c>
      <c r="B715" s="0" t="n">
        <v>6</v>
      </c>
      <c r="C715" s="0" t="s">
        <v>40</v>
      </c>
      <c r="F715" s="0" t="n">
        <v>6205.54</v>
      </c>
      <c r="G715" s="0" t="n">
        <v>6205.54</v>
      </c>
      <c r="H715" s="0" t="n">
        <v>0.355</v>
      </c>
      <c r="I715" s="0" t="n">
        <v>2202.9667</v>
      </c>
      <c r="J715" s="0" t="n">
        <v>33644</v>
      </c>
      <c r="K715" s="0" t="n">
        <v>11949.42</v>
      </c>
    </row>
    <row r="716" customFormat="false" ht="15" hidden="false" customHeight="false" outlineLevel="0" collapsed="false">
      <c r="A716" s="0" t="n">
        <v>2025</v>
      </c>
      <c r="B716" s="0" t="n">
        <v>7</v>
      </c>
      <c r="C716" s="0" t="s">
        <v>40</v>
      </c>
      <c r="F716" s="0" t="n">
        <v>6000</v>
      </c>
      <c r="G716" s="0" t="n">
        <v>6000</v>
      </c>
      <c r="H716" s="0" t="n">
        <v>0.296</v>
      </c>
      <c r="I716" s="0" t="n">
        <v>1776</v>
      </c>
      <c r="J716" s="0" t="n">
        <v>51483</v>
      </c>
      <c r="K716" s="0" t="n">
        <v>15262.33</v>
      </c>
    </row>
    <row r="717" customFormat="false" ht="15" hidden="false" customHeight="false" outlineLevel="0" collapsed="false">
      <c r="A717" s="0" t="n">
        <v>2025</v>
      </c>
      <c r="B717" s="0" t="n">
        <v>8</v>
      </c>
      <c r="C717" s="0" t="s">
        <v>40</v>
      </c>
      <c r="F717" s="0" t="n">
        <v>6000</v>
      </c>
      <c r="G717" s="0" t="n">
        <v>6000</v>
      </c>
      <c r="H717" s="0" t="n">
        <v>0.3268</v>
      </c>
      <c r="I717" s="0" t="n">
        <v>1960.8</v>
      </c>
      <c r="J717" s="0" t="n">
        <v>17650</v>
      </c>
      <c r="K717" s="0" t="n">
        <v>5768.63</v>
      </c>
    </row>
    <row r="718" customFormat="false" ht="15" hidden="false" customHeight="false" outlineLevel="0" collapsed="false">
      <c r="A718" s="0" t="n">
        <v>2025</v>
      </c>
      <c r="B718" s="0" t="n">
        <v>9</v>
      </c>
      <c r="C718" s="0" t="s">
        <v>40</v>
      </c>
      <c r="F718" s="0" t="n">
        <v>6000</v>
      </c>
      <c r="G718" s="0" t="n">
        <v>6000</v>
      </c>
      <c r="H718" s="0" t="n">
        <v>0</v>
      </c>
      <c r="I718" s="0" t="n">
        <v>0</v>
      </c>
      <c r="J718" s="0" t="n">
        <v>0</v>
      </c>
      <c r="K718" s="0" t="n">
        <v>0</v>
      </c>
    </row>
    <row r="719" customFormat="false" ht="15" hidden="false" customHeight="false" outlineLevel="0" collapsed="false">
      <c r="A719" s="0" t="n">
        <v>2025</v>
      </c>
      <c r="B719" s="0" t="n">
        <v>10</v>
      </c>
      <c r="C719" s="0" t="s">
        <v>40</v>
      </c>
      <c r="H719" s="0" t="n">
        <v>0</v>
      </c>
      <c r="J719" s="0" t="n">
        <v>0</v>
      </c>
      <c r="K719" s="0" t="n">
        <v>0</v>
      </c>
    </row>
    <row r="720" customFormat="false" ht="15" hidden="false" customHeight="false" outlineLevel="0" collapsed="false">
      <c r="A720" s="0" t="n">
        <v>2025</v>
      </c>
      <c r="B720" s="0" t="n">
        <v>11</v>
      </c>
      <c r="C720" s="0" t="s">
        <v>40</v>
      </c>
      <c r="H720" s="0" t="n">
        <v>0</v>
      </c>
      <c r="J720" s="0" t="n">
        <v>0</v>
      </c>
      <c r="K720" s="0" t="n">
        <v>0</v>
      </c>
    </row>
    <row r="721" customFormat="false" ht="15" hidden="false" customHeight="false" outlineLevel="0" collapsed="false">
      <c r="A721" s="0" t="n">
        <v>2025</v>
      </c>
      <c r="B721" s="0" t="n">
        <v>12</v>
      </c>
      <c r="C721" s="0" t="s">
        <v>40</v>
      </c>
      <c r="H721" s="0" t="n">
        <v>0</v>
      </c>
      <c r="J721" s="0" t="n">
        <v>0</v>
      </c>
      <c r="K72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29" activeCellId="0" sqref="D2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7" min="7" style="0" width="9.86"/>
    <col collapsed="false" customWidth="true" hidden="false" outlineLevel="0" max="8" min="8" style="0" width="15.57"/>
    <col collapsed="false" customWidth="true" hidden="false" outlineLevel="0" max="9" min="9" style="0" width="15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11</v>
      </c>
      <c r="D2" s="6" t="n">
        <v>151.33</v>
      </c>
      <c r="E2" s="6" t="n">
        <v>127305</v>
      </c>
      <c r="F2" s="5"/>
      <c r="G2" s="5"/>
      <c r="H2" s="7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11</v>
      </c>
      <c r="D3" s="6" t="n">
        <v>130.12</v>
      </c>
      <c r="E3" s="6" t="n">
        <v>117666</v>
      </c>
      <c r="F3" s="5"/>
      <c r="G3" s="5"/>
      <c r="H3" s="7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11</v>
      </c>
      <c r="D4" s="6" t="n">
        <v>80.25</v>
      </c>
      <c r="E4" s="6" t="n">
        <v>54604</v>
      </c>
      <c r="F4" s="5"/>
      <c r="G4" s="5"/>
      <c r="H4" s="7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11</v>
      </c>
      <c r="D5" s="6" t="n">
        <v>81.52</v>
      </c>
      <c r="E5" s="6" t="n">
        <v>59880</v>
      </c>
      <c r="F5" s="5"/>
      <c r="G5" s="5"/>
      <c r="H5" s="7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11</v>
      </c>
      <c r="D6" s="6" t="n">
        <v>124.43</v>
      </c>
      <c r="E6" s="6" t="n">
        <v>86479</v>
      </c>
      <c r="F6" s="5"/>
      <c r="G6" s="5"/>
      <c r="H6" s="7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11</v>
      </c>
      <c r="D7" s="6" t="n">
        <v>91.02</v>
      </c>
      <c r="E7" s="6" t="n">
        <v>76618</v>
      </c>
      <c r="F7" s="5"/>
      <c r="G7" s="5"/>
      <c r="H7" s="7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11</v>
      </c>
      <c r="D8" s="6" t="n">
        <v>88.15</v>
      </c>
      <c r="E8" s="6" t="n">
        <v>60539</v>
      </c>
      <c r="F8" s="5"/>
      <c r="G8" s="5"/>
      <c r="H8" s="7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11</v>
      </c>
      <c r="D9" s="6" t="n">
        <v>30.53</v>
      </c>
      <c r="E9" s="6" t="n">
        <v>20210</v>
      </c>
      <c r="F9" s="5"/>
      <c r="G9" s="5"/>
      <c r="H9" s="7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11</v>
      </c>
      <c r="D10" s="6" t="n">
        <v>69.32</v>
      </c>
      <c r="E10" s="6" t="n">
        <v>50341</v>
      </c>
      <c r="F10" s="5"/>
      <c r="G10" s="5"/>
      <c r="H10" s="7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11</v>
      </c>
      <c r="D11" s="6" t="n">
        <v>93.7</v>
      </c>
      <c r="E11" s="9" t="n">
        <v>68387</v>
      </c>
      <c r="F11" s="5"/>
      <c r="G11" s="5"/>
      <c r="H11" s="7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11</v>
      </c>
      <c r="D12" s="10" t="n">
        <f aca="false">Tabelle!Y20</f>
        <v>130.2</v>
      </c>
      <c r="E12" s="6" t="n">
        <f aca="false">Tabelle!Y36</f>
        <v>86845</v>
      </c>
      <c r="F12" s="11" t="n">
        <v>66.33</v>
      </c>
      <c r="G12" s="5"/>
      <c r="H12" s="7" t="n">
        <f aca="false">Tabelle!F121</f>
        <v>0.307</v>
      </c>
      <c r="I12" s="12" t="n">
        <f aca="false">F12*H12</f>
        <v>20.36331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11</v>
      </c>
      <c r="D13" s="10" t="n">
        <f aca="false">Tabelle!Y21</f>
        <v>70.15</v>
      </c>
      <c r="E13" s="6" t="n">
        <f aca="false">Tabelle!Y37</f>
        <v>37100</v>
      </c>
      <c r="F13" s="11" t="n">
        <v>38.64</v>
      </c>
      <c r="G13" s="5"/>
      <c r="H13" s="7" t="n">
        <f aca="false">Tabelle!F122</f>
        <v>0.331</v>
      </c>
      <c r="I13" s="12" t="n">
        <f aca="false">F13*H13</f>
        <v>12.78984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11</v>
      </c>
      <c r="D14" s="10" t="n">
        <f aca="false">Tabelle!Y22</f>
        <v>182.2</v>
      </c>
      <c r="E14" s="6" t="n">
        <f aca="false">Tabelle!Y38</f>
        <v>0</v>
      </c>
      <c r="F14" s="11" t="n">
        <v>55.34</v>
      </c>
      <c r="G14" s="5"/>
      <c r="H14" s="7" t="n">
        <f aca="false">Tabelle!F123</f>
        <v>0.335</v>
      </c>
      <c r="I14" s="12" t="n">
        <f aca="false">F14*H14</f>
        <v>18.5389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11</v>
      </c>
      <c r="D15" s="10" t="n">
        <f aca="false">Tabelle!Y23</f>
        <v>127.5</v>
      </c>
      <c r="E15" s="6" t="n">
        <f aca="false">Tabelle!Y39</f>
        <v>0</v>
      </c>
      <c r="F15" s="11" t="n">
        <v>64.14</v>
      </c>
      <c r="G15" s="5"/>
      <c r="H15" s="7" t="n">
        <f aca="false">Tabelle!F124</f>
        <v>0.334</v>
      </c>
      <c r="I15" s="12" t="n">
        <f aca="false">F15*H15</f>
        <v>21.42276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11</v>
      </c>
      <c r="D16" s="10" t="n">
        <f aca="false">Tabelle!Y24</f>
        <v>116.1</v>
      </c>
      <c r="E16" s="6" t="n">
        <f aca="false">Tabelle!Y40</f>
        <v>0</v>
      </c>
      <c r="F16" s="11" t="n">
        <v>52.57</v>
      </c>
      <c r="G16" s="5"/>
      <c r="H16" s="7" t="n">
        <f aca="false">Tabelle!F125</f>
        <v>0.286</v>
      </c>
      <c r="I16" s="12" t="n">
        <f aca="false">F16*H16</f>
        <v>15.03502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11</v>
      </c>
      <c r="D17" s="10" t="n">
        <f aca="false">Tabelle!Y25</f>
        <v>67.9</v>
      </c>
      <c r="E17" s="6" t="n">
        <f aca="false">Tabelle!Y41</f>
        <v>0</v>
      </c>
      <c r="F17" s="11" t="n">
        <v>35.27</v>
      </c>
      <c r="G17" s="5"/>
      <c r="H17" s="7" t="n">
        <f aca="false">Tabelle!F126</f>
        <v>0.2655</v>
      </c>
      <c r="I17" s="12" t="n">
        <f aca="false">F17*H17</f>
        <v>9.364185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11</v>
      </c>
      <c r="D18" s="10" t="n">
        <f aca="false">Tabelle!Y26</f>
        <v>74.4</v>
      </c>
      <c r="E18" s="6" t="n">
        <f aca="false">Tabelle!Y42</f>
        <v>0</v>
      </c>
      <c r="F18" s="11" t="n">
        <v>36.76</v>
      </c>
      <c r="G18" s="5"/>
      <c r="H18" s="7" t="n">
        <f aca="false">Tabelle!F127</f>
        <v>0.2575</v>
      </c>
      <c r="I18" s="12" t="n">
        <f aca="false">F18*H18</f>
        <v>9.4657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11</v>
      </c>
      <c r="D19" s="10" t="n">
        <f aca="false">Tabelle!Y27</f>
        <v>35</v>
      </c>
      <c r="E19" s="6" t="n">
        <f aca="false">Tabelle!Y43</f>
        <v>0</v>
      </c>
      <c r="F19" s="11" t="n">
        <v>0</v>
      </c>
      <c r="G19" s="5"/>
      <c r="H19" s="7" t="n">
        <f aca="false">Tabelle!F128</f>
        <v>0.355</v>
      </c>
      <c r="I19" s="12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11</v>
      </c>
      <c r="D20" s="10" t="n">
        <f aca="false">Tabelle!Y28</f>
        <v>95.4</v>
      </c>
      <c r="E20" s="6" t="n">
        <f aca="false">Tabelle!Y44</f>
        <v>0</v>
      </c>
      <c r="F20" s="11" t="n">
        <v>0</v>
      </c>
      <c r="G20" s="5"/>
      <c r="H20" s="7" t="n">
        <f aca="false">Tabelle!F129</f>
        <v>0.296</v>
      </c>
      <c r="I20" s="12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11</v>
      </c>
      <c r="D21" s="10" t="n">
        <f aca="false">Tabelle!Y29</f>
        <v>6.11</v>
      </c>
      <c r="E21" s="6" t="n">
        <f aca="false">Tabelle!Y45</f>
        <v>5236</v>
      </c>
      <c r="F21" s="11" t="n">
        <v>0</v>
      </c>
      <c r="G21" s="5"/>
      <c r="H21" s="7" t="n">
        <f aca="false">Tabelle!F130</f>
        <v>0.3268</v>
      </c>
      <c r="I21" s="12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11</v>
      </c>
      <c r="D22" s="10" t="n">
        <f aca="false">Tabelle!Y30</f>
        <v>128.79</v>
      </c>
      <c r="E22" s="6" t="n">
        <f aca="false">Tabelle!Y46</f>
        <v>96569</v>
      </c>
      <c r="F22" s="11" t="n">
        <v>1</v>
      </c>
      <c r="G22" s="5"/>
      <c r="H22" s="7" t="n">
        <f aca="false">Tabelle!F131</f>
        <v>0.2732</v>
      </c>
      <c r="I22" s="12" t="n">
        <f aca="false">F22*H22</f>
        <v>0.2732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11</v>
      </c>
      <c r="D23" s="10" t="n">
        <f aca="false">Tabelle!Y31</f>
        <v>0</v>
      </c>
      <c r="E23" s="6" t="n">
        <f aca="false">Tabelle!Y47</f>
        <v>6740</v>
      </c>
      <c r="F23" s="11" t="n">
        <v>2</v>
      </c>
      <c r="G23" s="5"/>
      <c r="H23" s="7" t="n">
        <f aca="false">Tabelle!F132</f>
        <v>0.2134</v>
      </c>
      <c r="I23" s="12" t="n">
        <f aca="false">F23*H23</f>
        <v>0.4268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11</v>
      </c>
      <c r="D24" s="10"/>
      <c r="E24" s="6"/>
      <c r="F24" s="5"/>
      <c r="G24" s="5"/>
      <c r="H24" s="7" t="n">
        <f aca="false">Tabelle!F133</f>
        <v>0.2261</v>
      </c>
      <c r="I24" s="12" t="n">
        <f aca="false">F24*H24</f>
        <v>0</v>
      </c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11</v>
      </c>
      <c r="D25" s="10"/>
      <c r="E25" s="6"/>
      <c r="F25" s="5"/>
      <c r="G25" s="5"/>
      <c r="H25" s="7" t="n">
        <f aca="false">Tabelle!F134</f>
        <v>0</v>
      </c>
      <c r="I25" s="12" t="n">
        <f aca="false">F25*H25</f>
        <v>0</v>
      </c>
      <c r="J25" s="6" t="n">
        <f aca="false">Tabelle!B134</f>
        <v>0</v>
      </c>
      <c r="K25" s="8" t="n">
        <f aca="false">Tabelle!G112</f>
        <v>0</v>
      </c>
    </row>
    <row r="26" customFormat="false" ht="15" hidden="false" customHeight="false" outlineLevel="0" collapsed="false">
      <c r="A26" s="13" t="n">
        <v>2026</v>
      </c>
      <c r="B26" s="13" t="n">
        <v>7</v>
      </c>
      <c r="C26" s="5" t="s">
        <v>11</v>
      </c>
      <c r="D26" s="10"/>
      <c r="E26" s="6"/>
      <c r="F26" s="5"/>
      <c r="G26" s="5"/>
      <c r="H26" s="7" t="n">
        <f aca="false">Tabelle!F135</f>
        <v>0</v>
      </c>
      <c r="I26" s="12" t="n">
        <f aca="false">F26*H26</f>
        <v>0</v>
      </c>
      <c r="J26" s="6" t="n">
        <f aca="false">Tabelle!B135</f>
        <v>0</v>
      </c>
      <c r="K26" s="8" t="n">
        <f aca="false">Tabelle!G113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14" width="9.14"/>
    <col collapsed="false" customWidth="true" hidden="false" outlineLevel="0" max="3" min="3" style="14" width="20.14"/>
    <col collapsed="false" customWidth="true" hidden="false" outlineLevel="0" max="4" min="4" style="14" width="33.83"/>
    <col collapsed="false" customWidth="true" hidden="false" outlineLevel="0" max="5" min="5" style="14" width="13.29"/>
    <col collapsed="false" customWidth="true" hidden="false" outlineLevel="0" max="6" min="6" style="14" width="9.71"/>
    <col collapsed="false" customWidth="true" hidden="false" outlineLevel="0" max="7" min="7" style="14" width="7.15"/>
    <col collapsed="false" customWidth="true" hidden="false" outlineLevel="0" max="8" min="8" style="14" width="12.86"/>
    <col collapsed="false" customWidth="true" hidden="false" outlineLevel="0" max="9" min="9" style="14" width="15.28"/>
    <col collapsed="false" customWidth="true" hidden="false" outlineLevel="0" max="10" min="10" style="15" width="19.43"/>
    <col collapsed="false" customWidth="true" hidden="false" outlineLevel="0" max="11" min="11" style="16" width="13.29"/>
    <col collapsed="false" customWidth="false" hidden="false" outlineLevel="0" max="16384" min="12" style="14" width="9.14"/>
  </cols>
  <sheetData>
    <row r="1" s="19" customFormat="tru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17" t="s">
        <v>50</v>
      </c>
      <c r="K1" s="18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12</v>
      </c>
      <c r="D2" s="6" t="n">
        <v>171.92</v>
      </c>
      <c r="E2" s="6" t="n">
        <v>143772</v>
      </c>
      <c r="F2" s="5"/>
      <c r="G2" s="5"/>
      <c r="H2" s="7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12</v>
      </c>
      <c r="D3" s="6" t="n">
        <v>119.51</v>
      </c>
      <c r="E3" s="6" t="n">
        <v>99614</v>
      </c>
      <c r="F3" s="5"/>
      <c r="G3" s="5"/>
      <c r="H3" s="7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12</v>
      </c>
      <c r="D4" s="6" t="n">
        <v>41.33</v>
      </c>
      <c r="E4" s="6" t="n">
        <v>30484</v>
      </c>
      <c r="F4" s="5"/>
      <c r="G4" s="5"/>
      <c r="H4" s="7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12</v>
      </c>
      <c r="D5" s="6" t="n">
        <v>12.44</v>
      </c>
      <c r="E5" s="6" t="n">
        <v>11700</v>
      </c>
      <c r="F5" s="5"/>
      <c r="G5" s="5"/>
      <c r="H5" s="7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12</v>
      </c>
      <c r="D6" s="6" t="n">
        <v>107.52</v>
      </c>
      <c r="E6" s="6" t="n">
        <v>106500</v>
      </c>
      <c r="F6" s="5"/>
      <c r="G6" s="5"/>
      <c r="H6" s="7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12</v>
      </c>
      <c r="D7" s="6" t="n">
        <v>90.79</v>
      </c>
      <c r="E7" s="6" t="n">
        <v>36912</v>
      </c>
      <c r="F7" s="5"/>
      <c r="G7" s="5"/>
      <c r="H7" s="7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12</v>
      </c>
      <c r="D8" s="6" t="n">
        <v>132.66</v>
      </c>
      <c r="E8" s="6" t="n">
        <v>20988</v>
      </c>
      <c r="F8" s="5"/>
      <c r="G8" s="5"/>
      <c r="H8" s="7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12</v>
      </c>
      <c r="D9" s="6" t="n">
        <v>33.49</v>
      </c>
      <c r="E9" s="6" t="n">
        <v>31135</v>
      </c>
      <c r="F9" s="5"/>
      <c r="G9" s="5"/>
      <c r="H9" s="7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12</v>
      </c>
      <c r="D10" s="6" t="n">
        <v>217.54</v>
      </c>
      <c r="E10" s="6" t="n">
        <v>65920</v>
      </c>
      <c r="F10" s="5"/>
      <c r="G10" s="5"/>
      <c r="H10" s="7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12</v>
      </c>
      <c r="D11" s="6" t="n">
        <v>96.65</v>
      </c>
      <c r="E11" s="6" t="n">
        <v>100508</v>
      </c>
      <c r="F11" s="5"/>
      <c r="G11" s="5"/>
      <c r="H11" s="7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12</v>
      </c>
      <c r="D12" s="11" t="n">
        <f aca="false">Tabelle!B20</f>
        <v>200</v>
      </c>
      <c r="E12" s="11" t="n">
        <f aca="false">Tabelle!B36</f>
        <v>85000</v>
      </c>
      <c r="F12" s="11" t="n">
        <f aca="false">Tabelle!B4</f>
        <v>745.92</v>
      </c>
      <c r="G12" s="5"/>
      <c r="H12" s="7" t="n">
        <f aca="false">Tabelle!F121</f>
        <v>0.307</v>
      </c>
      <c r="I12" s="12" t="n">
        <f aca="false">F12*H12</f>
        <v>228.99744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12</v>
      </c>
      <c r="D13" s="11" t="n">
        <f aca="false">Tabelle!B21</f>
        <v>59.3</v>
      </c>
      <c r="E13" s="11" t="n">
        <f aca="false">Tabelle!B37</f>
        <v>49458</v>
      </c>
      <c r="F13" s="11" t="n">
        <f aca="false">Tabelle!B5</f>
        <v>312.14</v>
      </c>
      <c r="G13" s="5"/>
      <c r="H13" s="7" t="n">
        <f aca="false">Tabelle!F122</f>
        <v>0.331</v>
      </c>
      <c r="I13" s="12" t="n">
        <f aca="false">F13*H13</f>
        <v>103.31834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12</v>
      </c>
      <c r="D14" s="11" t="n">
        <f aca="false">Tabelle!B22</f>
        <v>129.8</v>
      </c>
      <c r="E14" s="11" t="n">
        <f aca="false">Tabelle!B38</f>
        <v>81089</v>
      </c>
      <c r="F14" s="11" t="n">
        <f aca="false">Tabelle!B6</f>
        <v>428.89</v>
      </c>
      <c r="G14" s="5"/>
      <c r="H14" s="7" t="n">
        <f aca="false">Tabelle!F123</f>
        <v>0.335</v>
      </c>
      <c r="I14" s="12" t="n">
        <f aca="false">F14*H14</f>
        <v>143.67815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12</v>
      </c>
      <c r="D15" s="11" t="n">
        <f aca="false">Tabelle!B23</f>
        <v>153.8</v>
      </c>
      <c r="E15" s="11" t="n">
        <f aca="false">Tabelle!B39</f>
        <v>90790</v>
      </c>
      <c r="F15" s="11" t="n">
        <f aca="false">Tabelle!B7</f>
        <v>492.78</v>
      </c>
      <c r="G15" s="5"/>
      <c r="H15" s="7" t="n">
        <f aca="false">Tabelle!F124</f>
        <v>0.334</v>
      </c>
      <c r="I15" s="12" t="n">
        <f aca="false">F15*H15</f>
        <v>164.58852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12</v>
      </c>
      <c r="D16" s="11" t="n">
        <f aca="false">Tabelle!B24</f>
        <v>94.6</v>
      </c>
      <c r="E16" s="11" t="n">
        <f aca="false">Tabelle!B40</f>
        <v>82524</v>
      </c>
      <c r="F16" s="11" t="n">
        <f aca="false">Tabelle!B8</f>
        <v>407.33</v>
      </c>
      <c r="G16" s="5"/>
      <c r="H16" s="7" t="n">
        <f aca="false">Tabelle!F125</f>
        <v>0.286</v>
      </c>
      <c r="I16" s="12" t="n">
        <f aca="false">F16*H16</f>
        <v>116.49638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12</v>
      </c>
      <c r="D17" s="11" t="n">
        <f aca="false">Tabelle!B25</f>
        <v>84.6</v>
      </c>
      <c r="E17" s="11" t="n">
        <f aca="false">Tabelle!B41</f>
        <v>89516</v>
      </c>
      <c r="F17" s="11" t="n">
        <f aca="false">Tabelle!B9</f>
        <v>339.18</v>
      </c>
      <c r="G17" s="5"/>
      <c r="H17" s="7" t="n">
        <f aca="false">Tabelle!F126</f>
        <v>0.2655</v>
      </c>
      <c r="I17" s="12" t="n">
        <f aca="false">F17*H17</f>
        <v>90.0522899999999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12</v>
      </c>
      <c r="D18" s="11" t="n">
        <f aca="false">Tabelle!B26</f>
        <v>135.2</v>
      </c>
      <c r="E18" s="11" t="n">
        <f aca="false">Tabelle!B42</f>
        <v>36500</v>
      </c>
      <c r="F18" s="11" t="n">
        <f aca="false">Tabelle!B10</f>
        <v>253.47</v>
      </c>
      <c r="G18" s="5"/>
      <c r="H18" s="7" t="n">
        <f aca="false">Tabelle!F127</f>
        <v>0.2575</v>
      </c>
      <c r="I18" s="12" t="n">
        <f aca="false">F18*H18</f>
        <v>65.268525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12</v>
      </c>
      <c r="D19" s="11" t="n">
        <f aca="false">Tabelle!B27</f>
        <v>18.2</v>
      </c>
      <c r="E19" s="11" t="n">
        <f aca="false">Tabelle!B43</f>
        <v>20900</v>
      </c>
      <c r="F19" s="11" t="n">
        <f aca="false">Tabelle!B11</f>
        <v>97.4400000000001</v>
      </c>
      <c r="G19" s="5"/>
      <c r="H19" s="7" t="n">
        <f aca="false">Tabelle!F128</f>
        <v>0.355</v>
      </c>
      <c r="I19" s="12" t="n">
        <f aca="false">F19*H19</f>
        <v>34.5912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12</v>
      </c>
      <c r="D20" s="11" t="n">
        <f aca="false">Tabelle!B28</f>
        <v>173.2</v>
      </c>
      <c r="E20" s="11" t="n">
        <f aca="false">Tabelle!B44</f>
        <v>197200</v>
      </c>
      <c r="F20" s="11" t="n">
        <f aca="false">Tabelle!B12</f>
        <v>448.6</v>
      </c>
      <c r="G20" s="5"/>
      <c r="H20" s="7" t="n">
        <f aca="false">Tabelle!F129</f>
        <v>0.296</v>
      </c>
      <c r="I20" s="12" t="n">
        <f aca="false">F20*H20</f>
        <v>132.7856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12</v>
      </c>
      <c r="D21" s="11" t="n">
        <f aca="false">Tabelle!B29</f>
        <v>0</v>
      </c>
      <c r="E21" s="11" t="n">
        <f aca="false">Tabelle!B45</f>
        <v>0</v>
      </c>
      <c r="F21" s="11" t="n">
        <f aca="false">Tabelle!B13</f>
        <v>4.04999999999973</v>
      </c>
      <c r="G21" s="5"/>
      <c r="H21" s="7" t="n">
        <f aca="false">Tabelle!F130</f>
        <v>0.3268</v>
      </c>
      <c r="I21" s="12" t="n">
        <f aca="false">F21*H21</f>
        <v>1.32353999999991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12</v>
      </c>
      <c r="D22" s="11" t="n">
        <f aca="false">Tabelle!B30</f>
        <v>40.05</v>
      </c>
      <c r="E22" s="11" t="n">
        <f aca="false">Tabelle!B46</f>
        <v>16300</v>
      </c>
      <c r="F22" s="11" t="n">
        <f aca="false">Tabelle!B14</f>
        <v>179.22</v>
      </c>
      <c r="G22" s="5"/>
      <c r="H22" s="7" t="n">
        <f aca="false">Tabelle!F131</f>
        <v>0.2732</v>
      </c>
      <c r="I22" s="12" t="n">
        <f aca="false">F22*H22</f>
        <v>48.9629040000001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12</v>
      </c>
      <c r="D23" s="11" t="n">
        <f aca="false">Tabelle!B31</f>
        <v>40.92</v>
      </c>
      <c r="E23" s="11" t="n">
        <f aca="false">Tabelle!B47</f>
        <v>20349</v>
      </c>
      <c r="F23" s="11" t="n">
        <f aca="false">Tabelle!B15</f>
        <v>477.619999999999</v>
      </c>
      <c r="G23" s="5"/>
      <c r="H23" s="7" t="n">
        <f aca="false">Tabelle!F132</f>
        <v>0.2134</v>
      </c>
      <c r="I23" s="12" t="n">
        <f aca="false">F23*H23</f>
        <v>101.924108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12</v>
      </c>
      <c r="D24" s="11" t="n">
        <f aca="false">Tabelle!B32</f>
        <v>56.5</v>
      </c>
      <c r="E24" s="11" t="n">
        <f aca="false">Tabelle!B48</f>
        <v>58235</v>
      </c>
      <c r="F24" s="11" t="n">
        <f aca="false">Tabelle!B16</f>
        <v>146.25</v>
      </c>
      <c r="G24" s="5"/>
      <c r="H24" s="7" t="n">
        <f aca="false">Tabelle!F133</f>
        <v>0.2261</v>
      </c>
      <c r="I24" s="12" t="n">
        <f aca="false">F24*H24</f>
        <v>33.067125</v>
      </c>
      <c r="J24" s="6" t="n">
        <f aca="false">Tabelle!B133</f>
        <v>50662</v>
      </c>
      <c r="K24" s="8" t="n">
        <f aca="false">Tabelle!G107</f>
        <v>14793.67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12</v>
      </c>
      <c r="D25" s="11" t="n">
        <f aca="false">Tabelle!B33</f>
        <v>0</v>
      </c>
      <c r="E25" s="11" t="n">
        <f aca="false">Tabelle!B49</f>
        <v>0</v>
      </c>
      <c r="F25" s="11" t="n">
        <f aca="false">Tabelle!B17</f>
        <v>0</v>
      </c>
      <c r="G25" s="5"/>
      <c r="H25" s="7" t="n">
        <f aca="false">Tabelle!F134</f>
        <v>0</v>
      </c>
      <c r="I25" s="12" t="n">
        <f aca="false">F25*H25</f>
        <v>0</v>
      </c>
      <c r="J25" s="6" t="n">
        <f aca="false">Tabelle!B134</f>
        <v>0</v>
      </c>
      <c r="K25" s="8" t="n">
        <f aca="false">Tabelle!G108</f>
        <v>0</v>
      </c>
    </row>
    <row r="26" customFormat="false" ht="15" hidden="false" customHeight="false" outlineLevel="0" collapsed="false">
      <c r="A26" s="13" t="n">
        <v>2026</v>
      </c>
      <c r="B26" s="13" t="n">
        <v>1</v>
      </c>
      <c r="C26" s="5" t="s">
        <v>12</v>
      </c>
      <c r="D26" s="11" t="n">
        <f aca="false">Tabelle!B34</f>
        <v>0</v>
      </c>
      <c r="E26" s="11" t="n">
        <f aca="false">Tabelle!B50</f>
        <v>0</v>
      </c>
      <c r="F26" s="11" t="n">
        <f aca="false">Tabelle!B18</f>
        <v>0</v>
      </c>
      <c r="G26" s="5"/>
      <c r="H26" s="7" t="n">
        <f aca="false">Tabelle!F135</f>
        <v>0</v>
      </c>
      <c r="I26" s="12" t="n">
        <f aca="false">F26*H26</f>
        <v>0</v>
      </c>
      <c r="J26" s="6" t="n">
        <f aca="false">Tabelle!B135</f>
        <v>0</v>
      </c>
      <c r="K26" s="8" t="n">
        <f aca="false">Tabelle!G109</f>
        <v>0</v>
      </c>
    </row>
    <row r="27" customFormat="false" ht="15" hidden="false" customHeight="false" outlineLevel="0" collapsed="false">
      <c r="A27" s="13" t="n">
        <v>2027</v>
      </c>
      <c r="B27" s="13" t="n">
        <v>2</v>
      </c>
      <c r="C27" s="5" t="s">
        <v>13</v>
      </c>
      <c r="D27" s="11" t="str">
        <f aca="false">Tabelle!B35</f>
        <v>F01</v>
      </c>
      <c r="E27" s="11" t="n">
        <f aca="false">Tabelle!B51</f>
        <v>0</v>
      </c>
      <c r="F27" s="11" t="str">
        <f aca="false">Tabelle!B19</f>
        <v>F01</v>
      </c>
      <c r="G27" s="5"/>
      <c r="H27" s="7" t="n">
        <f aca="false">Tabelle!F136</f>
        <v>0</v>
      </c>
      <c r="I27" s="12" t="e">
        <f aca="false">F27*H27</f>
        <v>#VALUE!</v>
      </c>
      <c r="J27" s="6" t="n">
        <f aca="false">Tabelle!B136</f>
        <v>0</v>
      </c>
      <c r="K27" s="8" t="n">
        <f aca="false">Tabelle!G110</f>
        <v>0</v>
      </c>
    </row>
    <row r="28" customFormat="false" ht="15" hidden="false" customHeight="false" outlineLevel="0" collapsed="false">
      <c r="A28" s="13" t="n">
        <v>2028</v>
      </c>
      <c r="B28" s="13" t="n">
        <v>3</v>
      </c>
      <c r="C28" s="5" t="s">
        <v>14</v>
      </c>
      <c r="D28" s="11" t="n">
        <f aca="false">Tabelle!B36</f>
        <v>85000</v>
      </c>
      <c r="E28" s="11" t="n">
        <f aca="false">Tabelle!B52</f>
        <v>0</v>
      </c>
      <c r="F28" s="11" t="n">
        <f aca="false">Tabelle!B20</f>
        <v>200</v>
      </c>
      <c r="G28" s="5"/>
      <c r="H28" s="7" t="n">
        <f aca="false">Tabelle!F137</f>
        <v>0</v>
      </c>
      <c r="I28" s="12" t="n">
        <f aca="false">F28*H28</f>
        <v>0</v>
      </c>
      <c r="J28" s="6" t="n">
        <f aca="false">Tabelle!B137</f>
        <v>0</v>
      </c>
      <c r="K28" s="8" t="n">
        <f aca="false">Tabelle!G111</f>
        <v>0</v>
      </c>
    </row>
    <row r="29" customFormat="false" ht="15" hidden="false" customHeight="false" outlineLevel="0" collapsed="false">
      <c r="A29" s="13" t="n">
        <v>2029</v>
      </c>
      <c r="B29" s="13" t="n">
        <v>4</v>
      </c>
      <c r="C29" s="5" t="s">
        <v>15</v>
      </c>
      <c r="D29" s="11" t="n">
        <f aca="false">Tabelle!B37</f>
        <v>49458</v>
      </c>
      <c r="E29" s="11" t="n">
        <f aca="false">Tabelle!B53</f>
        <v>20844.95</v>
      </c>
      <c r="F29" s="11" t="n">
        <f aca="false">Tabelle!B21</f>
        <v>59.3</v>
      </c>
      <c r="G29" s="5"/>
      <c r="H29" s="7" t="n">
        <f aca="false">Tabelle!F138</f>
        <v>0</v>
      </c>
      <c r="I29" s="12" t="n">
        <f aca="false">F29*H29</f>
        <v>0</v>
      </c>
      <c r="J29" s="6" t="n">
        <f aca="false">Tabelle!B138</f>
        <v>0</v>
      </c>
      <c r="K29" s="8" t="n">
        <f aca="false">Tabelle!G112</f>
        <v>0</v>
      </c>
    </row>
    <row r="30" customFormat="false" ht="15" hidden="false" customHeight="false" outlineLevel="0" collapsed="false">
      <c r="A30" s="13" t="n">
        <v>2030</v>
      </c>
      <c r="B30" s="13" t="n">
        <v>5</v>
      </c>
      <c r="C30" s="5" t="s">
        <v>16</v>
      </c>
      <c r="D30" s="11" t="n">
        <f aca="false">Tabelle!B38</f>
        <v>81089</v>
      </c>
      <c r="E30" s="11" t="n">
        <f aca="false">Tabelle!B54</f>
        <v>12891.34</v>
      </c>
      <c r="F30" s="11" t="n">
        <f aca="false">Tabelle!B22</f>
        <v>129.8</v>
      </c>
      <c r="G30" s="5"/>
      <c r="H30" s="7" t="n">
        <f aca="false">Tabelle!F139</f>
        <v>0</v>
      </c>
      <c r="I30" s="12" t="n">
        <f aca="false">F30*H30</f>
        <v>0</v>
      </c>
      <c r="J30" s="6" t="n">
        <f aca="false">Tabelle!B139</f>
        <v>0</v>
      </c>
      <c r="K30" s="8" t="n">
        <f aca="false">Tabelle!G113</f>
        <v>0</v>
      </c>
    </row>
    <row r="31" customFormat="false" ht="15" hidden="false" customHeight="false" outlineLevel="0" collapsed="false">
      <c r="A31" s="13" t="n">
        <v>2031</v>
      </c>
      <c r="B31" s="13" t="n">
        <v>6</v>
      </c>
      <c r="C31" s="5" t="s">
        <v>17</v>
      </c>
      <c r="D31" s="11" t="n">
        <f aca="false">Tabelle!B39</f>
        <v>90790</v>
      </c>
      <c r="E31" s="11" t="n">
        <f aca="false">Tabelle!B55</f>
        <v>17112.31</v>
      </c>
      <c r="F31" s="11" t="n">
        <f aca="false">Tabelle!B23</f>
        <v>153.8</v>
      </c>
      <c r="G31" s="5"/>
      <c r="H31" s="7" t="n">
        <f aca="false">Tabelle!F140</f>
        <v>0</v>
      </c>
      <c r="I31" s="12" t="n">
        <f aca="false">F31*H31</f>
        <v>0</v>
      </c>
      <c r="J31" s="6" t="n">
        <f aca="false">Tabelle!B140</f>
        <v>0</v>
      </c>
      <c r="K31" s="8" t="n">
        <f aca="false">Tabelle!G114</f>
        <v>0</v>
      </c>
    </row>
    <row r="32" customFormat="false" ht="15" hidden="false" customHeight="false" outlineLevel="0" collapsed="false">
      <c r="A32" s="13" t="n">
        <v>2032</v>
      </c>
      <c r="B32" s="13" t="n">
        <v>7</v>
      </c>
      <c r="C32" s="5" t="s">
        <v>18</v>
      </c>
      <c r="D32" s="11" t="n">
        <f aca="false">Tabelle!B40</f>
        <v>82524</v>
      </c>
      <c r="E32" s="11" t="n">
        <f aca="false">Tabelle!B56</f>
        <v>17816.81</v>
      </c>
      <c r="F32" s="11" t="n">
        <f aca="false">Tabelle!B24</f>
        <v>94.6</v>
      </c>
      <c r="G32" s="5"/>
      <c r="H32" s="7" t="n">
        <f aca="false">Tabelle!F141</f>
        <v>0</v>
      </c>
      <c r="I32" s="12" t="n">
        <f aca="false">F32*H32</f>
        <v>0</v>
      </c>
      <c r="J32" s="6" t="n">
        <f aca="false">Tabelle!B141</f>
        <v>0</v>
      </c>
      <c r="K32" s="8" t="n">
        <f aca="false">Tabelle!G115</f>
        <v>0</v>
      </c>
    </row>
    <row r="33" customFormat="false" ht="15" hidden="false" customHeight="false" outlineLevel="0" collapsed="false">
      <c r="A33" s="13" t="n">
        <v>2033</v>
      </c>
      <c r="B33" s="13" t="n">
        <v>8</v>
      </c>
      <c r="C33" s="5" t="s">
        <v>19</v>
      </c>
      <c r="D33" s="11" t="n">
        <f aca="false">Tabelle!B41</f>
        <v>89516</v>
      </c>
      <c r="E33" s="11" t="n">
        <f aca="false">Tabelle!B57</f>
        <v>20822.19</v>
      </c>
      <c r="F33" s="11" t="n">
        <f aca="false">Tabelle!B25</f>
        <v>84.6</v>
      </c>
      <c r="G33" s="5"/>
      <c r="H33" s="7" t="n">
        <f aca="false">Tabelle!F142</f>
        <v>0</v>
      </c>
      <c r="I33" s="12" t="n">
        <f aca="false">F33*H33</f>
        <v>0</v>
      </c>
      <c r="J33" s="6" t="n">
        <f aca="false">Tabelle!B142</f>
        <v>0</v>
      </c>
      <c r="K33" s="8" t="n">
        <f aca="false">Tabelle!G116</f>
        <v>0</v>
      </c>
    </row>
    <row r="34" customFormat="false" ht="15" hidden="false" customHeight="false" outlineLevel="0" collapsed="false">
      <c r="A34" s="13" t="n">
        <v>2034</v>
      </c>
      <c r="B34" s="13" t="n">
        <v>9</v>
      </c>
      <c r="C34" s="5" t="s">
        <v>20</v>
      </c>
      <c r="D34" s="11" t="n">
        <f aca="false">Tabelle!B42</f>
        <v>36500</v>
      </c>
      <c r="E34" s="11" t="n">
        <f aca="false">Tabelle!B58</f>
        <v>16194.22</v>
      </c>
      <c r="F34" s="11" t="n">
        <f aca="false">Tabelle!B26</f>
        <v>135.2</v>
      </c>
      <c r="G34" s="5"/>
      <c r="H34" s="7" t="n">
        <f aca="false">Tabelle!F143</f>
        <v>0</v>
      </c>
      <c r="I34" s="12" t="n">
        <f aca="false">F34*H34</f>
        <v>0</v>
      </c>
      <c r="J34" s="6" t="n">
        <f aca="false">Tabelle!B143</f>
        <v>0</v>
      </c>
      <c r="K34" s="8" t="n">
        <f aca="false">Tabelle!G117</f>
        <v>0</v>
      </c>
    </row>
    <row r="35" customFormat="false" ht="15" hidden="false" customHeight="false" outlineLevel="0" collapsed="false">
      <c r="A35" s="13" t="n">
        <v>2035</v>
      </c>
      <c r="B35" s="13" t="n">
        <v>10</v>
      </c>
      <c r="C35" s="5" t="s">
        <v>21</v>
      </c>
      <c r="D35" s="11" t="n">
        <f aca="false">Tabelle!B43</f>
        <v>20900</v>
      </c>
      <c r="E35" s="11" t="n">
        <f aca="false">Tabelle!B59</f>
        <v>9599.95</v>
      </c>
      <c r="F35" s="11" t="n">
        <f aca="false">Tabelle!B27</f>
        <v>18.2</v>
      </c>
      <c r="G35" s="5"/>
      <c r="H35" s="7" t="n">
        <f aca="false">Tabelle!F144</f>
        <v>0</v>
      </c>
      <c r="I35" s="12" t="n">
        <f aca="false">F35*H35</f>
        <v>0</v>
      </c>
      <c r="J35" s="6" t="n">
        <f aca="false">Tabelle!B144</f>
        <v>0</v>
      </c>
      <c r="K35" s="8" t="n">
        <f aca="false">Tabelle!G118</f>
        <v>0</v>
      </c>
    </row>
    <row r="36" customFormat="false" ht="15" hidden="false" customHeight="false" outlineLevel="0" collapsed="false">
      <c r="A36" s="13" t="n">
        <v>2036</v>
      </c>
      <c r="B36" s="13" t="n">
        <v>11</v>
      </c>
      <c r="C36" s="5" t="s">
        <v>22</v>
      </c>
      <c r="D36" s="11" t="n">
        <f aca="false">Tabelle!B44</f>
        <v>197200</v>
      </c>
      <c r="E36" s="11" t="n">
        <f aca="false">Tabelle!B60</f>
        <v>9577.01000000001</v>
      </c>
      <c r="F36" s="11" t="n">
        <f aca="false">Tabelle!B28</f>
        <v>173.2</v>
      </c>
      <c r="G36" s="5"/>
      <c r="H36" s="7" t="n">
        <f aca="false">Tabelle!F145</f>
        <v>0</v>
      </c>
      <c r="I36" s="12" t="n">
        <f aca="false">F36*H36</f>
        <v>0</v>
      </c>
      <c r="J36" s="6" t="n">
        <f aca="false">Tabelle!B145</f>
        <v>0</v>
      </c>
      <c r="K36" s="8" t="n">
        <f aca="false">Tabelle!G119</f>
        <v>0</v>
      </c>
    </row>
    <row r="37" customFormat="false" ht="15" hidden="false" customHeight="false" outlineLevel="0" collapsed="false">
      <c r="A37" s="13" t="n">
        <v>2037</v>
      </c>
      <c r="B37" s="13" t="n">
        <v>12</v>
      </c>
      <c r="C37" s="5" t="s">
        <v>52</v>
      </c>
      <c r="D37" s="11" t="n">
        <f aca="false">Tabelle!B45</f>
        <v>0</v>
      </c>
      <c r="E37" s="11" t="n">
        <f aca="false">Tabelle!B61</f>
        <v>13769.15</v>
      </c>
      <c r="F37" s="11" t="n">
        <f aca="false">Tabelle!B29</f>
        <v>0</v>
      </c>
      <c r="G37" s="5"/>
      <c r="H37" s="7" t="n">
        <f aca="false">Tabelle!F146</f>
        <v>0</v>
      </c>
      <c r="I37" s="12" t="n">
        <f aca="false">F37*H37</f>
        <v>0</v>
      </c>
      <c r="J37" s="6" t="n">
        <f aca="false">Tabelle!B146</f>
        <v>0</v>
      </c>
      <c r="K37" s="8" t="n">
        <f aca="false">Tabelle!G120</f>
        <v>0</v>
      </c>
    </row>
    <row r="38" customFormat="false" ht="15" hidden="false" customHeight="false" outlineLevel="0" collapsed="false">
      <c r="A38" s="13" t="n">
        <v>2038</v>
      </c>
      <c r="B38" s="13" t="n">
        <v>13</v>
      </c>
      <c r="C38" s="5" t="s">
        <v>53</v>
      </c>
      <c r="D38" s="11" t="n">
        <f aca="false">Tabelle!B46</f>
        <v>16300</v>
      </c>
      <c r="E38" s="11" t="n">
        <f aca="false">Tabelle!B62</f>
        <v>2887.25</v>
      </c>
      <c r="F38" s="11" t="n">
        <f aca="false">Tabelle!B30</f>
        <v>40.05</v>
      </c>
      <c r="G38" s="5"/>
      <c r="H38" s="7" t="n">
        <f aca="false">Tabelle!F147</f>
        <v>0</v>
      </c>
      <c r="I38" s="12" t="n">
        <f aca="false">F38*H38</f>
        <v>0</v>
      </c>
      <c r="J38" s="6" t="n">
        <f aca="false">Tabelle!B147</f>
        <v>0</v>
      </c>
      <c r="K38" s="8" t="n">
        <f aca="false">Tabelle!G121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7.14"/>
    <col collapsed="false" customWidth="true" hidden="false" outlineLevel="0" max="9" min="9" style="0" width="15.43"/>
    <col collapsed="false" customWidth="true" hidden="false" outlineLevel="0" max="10" min="10" style="0" width="17.57"/>
    <col collapsed="false" customWidth="true" hidden="false" outlineLevel="0" max="11" min="11" style="0" width="18.71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13</v>
      </c>
      <c r="D2" s="6" t="n">
        <v>141.59</v>
      </c>
      <c r="E2" s="6" t="n">
        <v>74096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13</v>
      </c>
      <c r="D3" s="6" t="n">
        <v>211.19</v>
      </c>
      <c r="E3" s="6" t="n">
        <v>76550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13</v>
      </c>
      <c r="D4" s="6" t="n">
        <v>83.45</v>
      </c>
      <c r="E4" s="6" t="n">
        <v>47000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13</v>
      </c>
      <c r="D5" s="6" t="n">
        <v>0</v>
      </c>
      <c r="E5" s="6" t="n">
        <v>10860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13</v>
      </c>
      <c r="D6" s="6" t="n">
        <v>69.22</v>
      </c>
      <c r="E6" s="6" t="n">
        <v>13432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13</v>
      </c>
      <c r="D7" s="6" t="n">
        <v>62.19</v>
      </c>
      <c r="E7" s="6" t="n">
        <v>36744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13</v>
      </c>
      <c r="D8" s="6" t="n">
        <v>59.82</v>
      </c>
      <c r="E8" s="6" t="n">
        <v>18500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13</v>
      </c>
      <c r="D9" s="6" t="n">
        <v>45.05</v>
      </c>
      <c r="E9" s="6" t="n">
        <v>17088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13</v>
      </c>
      <c r="D10" s="6" t="n">
        <v>84.73</v>
      </c>
      <c r="E10" s="6" t="n">
        <v>13260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13</v>
      </c>
      <c r="D11" s="6" t="n">
        <v>45.11</v>
      </c>
      <c r="E11" s="6" t="n">
        <v>4700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13</v>
      </c>
      <c r="D12" s="11" t="n">
        <f aca="false">Tabelle!C20</f>
        <v>103.3</v>
      </c>
      <c r="E12" s="11" t="n">
        <f aca="false">Tabelle!C36</f>
        <v>15405</v>
      </c>
      <c r="F12" s="11" t="n">
        <f aca="false">Tabelle!C4</f>
        <v>511.15</v>
      </c>
      <c r="G12" s="5"/>
      <c r="H12" s="20" t="n">
        <f aca="false">Tabelle!F121</f>
        <v>0.307</v>
      </c>
      <c r="I12" s="12" t="n">
        <f aca="false">F12*H12</f>
        <v>156.92305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13</v>
      </c>
      <c r="D13" s="11" t="n">
        <f aca="false">Tabelle!C21</f>
        <v>89.7</v>
      </c>
      <c r="E13" s="11" t="n">
        <f aca="false">Tabelle!C37</f>
        <v>100138</v>
      </c>
      <c r="F13" s="11" t="n">
        <f aca="false">Tabelle!C5</f>
        <v>357.13</v>
      </c>
      <c r="G13" s="5"/>
      <c r="H13" s="20" t="n">
        <f aca="false">Tabelle!F122</f>
        <v>0.331</v>
      </c>
      <c r="I13" s="12" t="n">
        <f aca="false">F13*H13</f>
        <v>118.21003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13</v>
      </c>
      <c r="D14" s="11" t="n">
        <f aca="false">Tabelle!C22</f>
        <v>99.7</v>
      </c>
      <c r="E14" s="11" t="n">
        <f aca="false">Tabelle!C38</f>
        <v>6278</v>
      </c>
      <c r="F14" s="11" t="n">
        <f aca="false">Tabelle!C6</f>
        <v>502.77</v>
      </c>
      <c r="G14" s="5"/>
      <c r="H14" s="20" t="n">
        <f aca="false">Tabelle!F123</f>
        <v>0.335</v>
      </c>
      <c r="I14" s="12" t="n">
        <f aca="false">F14*H14</f>
        <v>168.42795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13</v>
      </c>
      <c r="D15" s="11" t="n">
        <f aca="false">Tabelle!C23</f>
        <v>77.6</v>
      </c>
      <c r="E15" s="11" t="n">
        <f aca="false">Tabelle!C39</f>
        <v>41985</v>
      </c>
      <c r="F15" s="11" t="n">
        <f aca="false">Tabelle!C7</f>
        <v>286.44</v>
      </c>
      <c r="G15" s="5"/>
      <c r="H15" s="20" t="n">
        <f aca="false">Tabelle!F124</f>
        <v>0.334</v>
      </c>
      <c r="I15" s="12" t="n">
        <f aca="false">F15*H15</f>
        <v>95.67096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13</v>
      </c>
      <c r="D16" s="11" t="n">
        <f aca="false">Tabelle!C24</f>
        <v>53.7</v>
      </c>
      <c r="E16" s="11" t="n">
        <f aca="false">Tabelle!C40</f>
        <v>36925</v>
      </c>
      <c r="F16" s="11" t="n">
        <f aca="false">Tabelle!C8</f>
        <v>402.32</v>
      </c>
      <c r="G16" s="5"/>
      <c r="H16" s="20" t="n">
        <f aca="false">Tabelle!F125</f>
        <v>0.286</v>
      </c>
      <c r="I16" s="12" t="n">
        <f aca="false">F16*H16</f>
        <v>115.06352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13</v>
      </c>
      <c r="D17" s="11" t="n">
        <f aca="false">Tabelle!C25</f>
        <v>108.4</v>
      </c>
      <c r="E17" s="11" t="n">
        <f aca="false">Tabelle!C41</f>
        <v>19510</v>
      </c>
      <c r="F17" s="11" t="n">
        <f aca="false">Tabelle!C9</f>
        <v>398.69</v>
      </c>
      <c r="G17" s="5"/>
      <c r="H17" s="20" t="n">
        <f aca="false">Tabelle!F126</f>
        <v>0.2655</v>
      </c>
      <c r="I17" s="12" t="n">
        <f aca="false">F17*H17</f>
        <v>105.852195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13</v>
      </c>
      <c r="D18" s="11" t="n">
        <f aca="false">Tabelle!C26</f>
        <v>2.2</v>
      </c>
      <c r="E18" s="11" t="n">
        <f aca="false">Tabelle!C42</f>
        <v>500</v>
      </c>
      <c r="F18" s="11" t="n">
        <f aca="false">Tabelle!C10</f>
        <v>66.4000000000001</v>
      </c>
      <c r="G18" s="5"/>
      <c r="H18" s="20" t="n">
        <f aca="false">Tabelle!F127</f>
        <v>0.2575</v>
      </c>
      <c r="I18" s="12" t="n">
        <f aca="false">F18*H18</f>
        <v>17.098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13</v>
      </c>
      <c r="D19" s="11" t="n">
        <f aca="false">Tabelle!C27</f>
        <v>15.8</v>
      </c>
      <c r="E19" s="11" t="n">
        <f aca="false">Tabelle!C43</f>
        <v>4484</v>
      </c>
      <c r="F19" s="11" t="n">
        <f aca="false">Tabelle!C11</f>
        <v>146.03</v>
      </c>
      <c r="G19" s="5"/>
      <c r="H19" s="20" t="n">
        <f aca="false">Tabelle!F128</f>
        <v>0.355</v>
      </c>
      <c r="I19" s="12" t="n">
        <f aca="false">F19*H19</f>
        <v>51.8406500000001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13</v>
      </c>
      <c r="D20" s="11" t="n">
        <f aca="false">Tabelle!C28</f>
        <v>115.1</v>
      </c>
      <c r="E20" s="11" t="n">
        <f aca="false">Tabelle!C44</f>
        <v>51000</v>
      </c>
      <c r="F20" s="11" t="n">
        <f aca="false">Tabelle!C12</f>
        <v>538.77</v>
      </c>
      <c r="G20" s="5"/>
      <c r="H20" s="20" t="n">
        <f aca="false">Tabelle!F129</f>
        <v>0.296</v>
      </c>
      <c r="I20" s="12" t="n">
        <f aca="false">F20*H20</f>
        <v>159.47592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13</v>
      </c>
      <c r="D21" s="11" t="n">
        <f aca="false">Tabelle!C29</f>
        <v>59.62</v>
      </c>
      <c r="E21" s="11" t="n">
        <f aca="false">Tabelle!C45</f>
        <v>35441</v>
      </c>
      <c r="F21" s="11" t="n">
        <f aca="false">Tabelle!C13</f>
        <v>163.2</v>
      </c>
      <c r="G21" s="5"/>
      <c r="H21" s="20" t="n">
        <f aca="false">Tabelle!F130</f>
        <v>0.3268</v>
      </c>
      <c r="I21" s="12" t="n">
        <f aca="false">F21*H21</f>
        <v>53.3337599999999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13</v>
      </c>
      <c r="D22" s="11" t="n">
        <f aca="false">Tabelle!C30</f>
        <v>287.77</v>
      </c>
      <c r="E22" s="11" t="n">
        <f aca="false">Tabelle!C46</f>
        <v>112280</v>
      </c>
      <c r="F22" s="11" t="n">
        <f aca="false">Tabelle!C14</f>
        <v>746.4</v>
      </c>
      <c r="G22" s="5"/>
      <c r="H22" s="20" t="n">
        <f aca="false">Tabelle!F131</f>
        <v>0.2732</v>
      </c>
      <c r="I22" s="12" t="n">
        <f aca="false">F22*H22</f>
        <v>203.91648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13</v>
      </c>
      <c r="D23" s="11" t="n">
        <f aca="false">Tabelle!C31</f>
        <v>72.31</v>
      </c>
      <c r="E23" s="11" t="n">
        <f aca="false">Tabelle!C47</f>
        <v>28690</v>
      </c>
      <c r="F23" s="11" t="n">
        <f aca="false">Tabelle!C15</f>
        <v>800.610000000001</v>
      </c>
      <c r="G23" s="5"/>
      <c r="H23" s="20" t="n">
        <f aca="false">Tabelle!F132</f>
        <v>0.2134</v>
      </c>
      <c r="I23" s="12" t="n">
        <f aca="false">F23*H23</f>
        <v>170.850174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13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13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6"/>
    <col collapsed="false" customWidth="true" hidden="false" outlineLevel="0" max="10" min="9" style="0" width="18.57"/>
    <col collapsed="false" customWidth="true" hidden="false" outlineLevel="0" max="11" min="11" style="0" width="21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14</v>
      </c>
      <c r="D2" s="6" t="n">
        <v>181.16</v>
      </c>
      <c r="E2" s="6" t="n">
        <v>157102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14</v>
      </c>
      <c r="D3" s="6" t="n">
        <v>228.07</v>
      </c>
      <c r="E3" s="6" t="n">
        <v>144108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14</v>
      </c>
      <c r="D4" s="6" t="n">
        <v>14.89</v>
      </c>
      <c r="E4" s="6" t="n">
        <v>11200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14</v>
      </c>
      <c r="D5" s="6" t="n">
        <v>12.3</v>
      </c>
      <c r="E5" s="6" t="n">
        <v>4860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14</v>
      </c>
      <c r="D6" s="6" t="n">
        <v>133.93</v>
      </c>
      <c r="E6" s="6" t="n">
        <v>75309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14</v>
      </c>
      <c r="D7" s="6" t="n">
        <v>9.27</v>
      </c>
      <c r="E7" s="6" t="n">
        <v>3083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14</v>
      </c>
      <c r="D8" s="6" t="n">
        <v>93.51</v>
      </c>
      <c r="E8" s="6" t="n">
        <v>68064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14</v>
      </c>
      <c r="D9" s="6" t="n">
        <v>130.57</v>
      </c>
      <c r="E9" s="6" t="n">
        <v>106836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14</v>
      </c>
      <c r="D10" s="6" t="n">
        <v>51.16</v>
      </c>
      <c r="E10" s="6" t="n">
        <v>37600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14</v>
      </c>
      <c r="D11" s="6" t="n">
        <v>66.32</v>
      </c>
      <c r="E11" s="6" t="n">
        <v>48808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14</v>
      </c>
      <c r="D12" s="11" t="n">
        <f aca="false">Tabelle!D20</f>
        <v>100.6</v>
      </c>
      <c r="E12" s="11" t="n">
        <f aca="false">Tabelle!D36</f>
        <v>71217</v>
      </c>
      <c r="F12" s="11" t="n">
        <f aca="false">Tabelle!D4</f>
        <v>931.35</v>
      </c>
      <c r="G12" s="5"/>
      <c r="H12" s="20" t="n">
        <f aca="false">Tabelle!F121</f>
        <v>0.307</v>
      </c>
      <c r="I12" s="12" t="n">
        <f aca="false">F12*H12</f>
        <v>285.92445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14</v>
      </c>
      <c r="D13" s="11" t="n">
        <f aca="false">Tabelle!D21</f>
        <v>18.7</v>
      </c>
      <c r="E13" s="11" t="n">
        <f aca="false">Tabelle!D37</f>
        <v>7167</v>
      </c>
      <c r="F13" s="11" t="n">
        <f aca="false">Tabelle!D5</f>
        <v>138.46</v>
      </c>
      <c r="G13" s="5"/>
      <c r="H13" s="20" t="n">
        <f aca="false">Tabelle!F122</f>
        <v>0.331</v>
      </c>
      <c r="I13" s="12" t="n">
        <f aca="false">F13*H13</f>
        <v>45.8302599999999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14</v>
      </c>
      <c r="D14" s="11" t="n">
        <f aca="false">Tabelle!D22</f>
        <v>112.5</v>
      </c>
      <c r="E14" s="11" t="n">
        <f aca="false">Tabelle!D38</f>
        <v>32200</v>
      </c>
      <c r="F14" s="11" t="n">
        <f aca="false">Tabelle!D6</f>
        <v>562.68</v>
      </c>
      <c r="G14" s="5"/>
      <c r="H14" s="20" t="n">
        <f aca="false">Tabelle!F123</f>
        <v>0.335</v>
      </c>
      <c r="I14" s="12" t="n">
        <f aca="false">F14*H14</f>
        <v>188.4978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14</v>
      </c>
      <c r="D15" s="11" t="n">
        <f aca="false">Tabelle!D23</f>
        <v>137.8</v>
      </c>
      <c r="E15" s="11" t="n">
        <f aca="false">Tabelle!D39</f>
        <v>57200</v>
      </c>
      <c r="F15" s="11" t="n">
        <f aca="false">Tabelle!D7</f>
        <v>838.13</v>
      </c>
      <c r="G15" s="5"/>
      <c r="H15" s="20" t="n">
        <f aca="false">Tabelle!F124</f>
        <v>0.334</v>
      </c>
      <c r="I15" s="12" t="n">
        <f aca="false">F15*H15</f>
        <v>279.93542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14</v>
      </c>
      <c r="D16" s="11" t="n">
        <f aca="false">Tabelle!D24</f>
        <v>80.1</v>
      </c>
      <c r="E16" s="11" t="n">
        <f aca="false">Tabelle!D40</f>
        <v>46789</v>
      </c>
      <c r="F16" s="11" t="n">
        <f aca="false">Tabelle!D8</f>
        <v>740.02</v>
      </c>
      <c r="G16" s="5"/>
      <c r="H16" s="20" t="n">
        <f aca="false">Tabelle!F125</f>
        <v>0.286</v>
      </c>
      <c r="I16" s="12" t="n">
        <f aca="false">F16*H16</f>
        <v>211.64572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14</v>
      </c>
      <c r="D17" s="11" t="n">
        <f aca="false">Tabelle!D25</f>
        <v>167.4</v>
      </c>
      <c r="E17" s="11" t="n">
        <f aca="false">Tabelle!D41</f>
        <v>36400</v>
      </c>
      <c r="F17" s="11" t="n">
        <f aca="false">Tabelle!D9</f>
        <v>742.47</v>
      </c>
      <c r="G17" s="5"/>
      <c r="H17" s="20" t="n">
        <f aca="false">Tabelle!F126</f>
        <v>0.2655</v>
      </c>
      <c r="I17" s="12" t="n">
        <f aca="false">F17*H17</f>
        <v>197.125785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14</v>
      </c>
      <c r="D18" s="11" t="n">
        <f aca="false">Tabelle!D26</f>
        <v>4.4</v>
      </c>
      <c r="E18" s="11" t="n">
        <f aca="false">Tabelle!D42</f>
        <v>1303</v>
      </c>
      <c r="F18" s="11" t="n">
        <f aca="false">Tabelle!D10</f>
        <v>78.8499999999995</v>
      </c>
      <c r="G18" s="5"/>
      <c r="H18" s="20" t="n">
        <f aca="false">Tabelle!F127</f>
        <v>0.2575</v>
      </c>
      <c r="I18" s="12" t="n">
        <f aca="false">F18*H18</f>
        <v>20.3038749999999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14</v>
      </c>
      <c r="D19" s="11" t="n">
        <f aca="false">Tabelle!D27</f>
        <v>21.1</v>
      </c>
      <c r="E19" s="11" t="n">
        <f aca="false">Tabelle!D43</f>
        <v>12400</v>
      </c>
      <c r="F19" s="11" t="n">
        <f aca="false">Tabelle!D11</f>
        <v>99.5700000000006</v>
      </c>
      <c r="G19" s="5"/>
      <c r="H19" s="20" t="n">
        <f aca="false">Tabelle!F128</f>
        <v>0.355</v>
      </c>
      <c r="I19" s="12" t="n">
        <f aca="false">F19*H19</f>
        <v>35.3473500000002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14</v>
      </c>
      <c r="D20" s="11" t="n">
        <f aca="false">Tabelle!D28</f>
        <v>113</v>
      </c>
      <c r="E20" s="11" t="n">
        <f aca="false">Tabelle!D44</f>
        <v>79954</v>
      </c>
      <c r="F20" s="11" t="n">
        <f aca="false">Tabelle!D12</f>
        <v>622.530000000001</v>
      </c>
      <c r="G20" s="5"/>
      <c r="H20" s="20" t="n">
        <f aca="false">Tabelle!F129</f>
        <v>0.296</v>
      </c>
      <c r="I20" s="12" t="n">
        <f aca="false">F20*H20</f>
        <v>184.26888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14</v>
      </c>
      <c r="D21" s="11" t="n">
        <f aca="false">Tabelle!D29</f>
        <v>0</v>
      </c>
      <c r="E21" s="11" t="n">
        <f aca="false">Tabelle!D45</f>
        <v>0</v>
      </c>
      <c r="F21" s="11" t="n">
        <f aca="false">Tabelle!D13</f>
        <v>24.9299999999994</v>
      </c>
      <c r="G21" s="5"/>
      <c r="H21" s="20" t="n">
        <f aca="false">Tabelle!F130</f>
        <v>0.3268</v>
      </c>
      <c r="I21" s="12" t="n">
        <f aca="false">F21*H21</f>
        <v>8.1471239999998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14</v>
      </c>
      <c r="D22" s="11" t="n">
        <f aca="false">Tabelle!D30</f>
        <v>115.01</v>
      </c>
      <c r="E22" s="11" t="n">
        <f aca="false">Tabelle!D46</f>
        <v>88600</v>
      </c>
      <c r="F22" s="11" t="n">
        <f aca="false">Tabelle!D14</f>
        <v>786.97</v>
      </c>
      <c r="G22" s="5"/>
      <c r="H22" s="20" t="n">
        <f aca="false">Tabelle!F131</f>
        <v>0.2732</v>
      </c>
      <c r="I22" s="12" t="n">
        <f aca="false">F22*H22</f>
        <v>215.000204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14</v>
      </c>
      <c r="D23" s="11" t="n">
        <f aca="false">Tabelle!D31</f>
        <v>4.04</v>
      </c>
      <c r="E23" s="11" t="n">
        <f aca="false">Tabelle!D47</f>
        <v>2000</v>
      </c>
      <c r="F23" s="11" t="n">
        <f aca="false">Tabelle!D15</f>
        <v>401.650000000001</v>
      </c>
      <c r="G23" s="5"/>
      <c r="H23" s="20" t="n">
        <f aca="false">Tabelle!F132</f>
        <v>0.2134</v>
      </c>
      <c r="I23" s="12" t="n">
        <f aca="false">F23*H23</f>
        <v>85.7121100000001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14</v>
      </c>
      <c r="D24" s="11"/>
      <c r="E24" s="11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14</v>
      </c>
      <c r="D25" s="11"/>
      <c r="E25" s="11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6.86"/>
    <col collapsed="false" customWidth="true" hidden="false" outlineLevel="0" max="9" min="9" style="0" width="16.29"/>
    <col collapsed="false" customWidth="true" hidden="false" outlineLevel="0" max="10" min="10" style="0" width="16.57"/>
    <col collapsed="false" customWidth="true" hidden="false" outlineLevel="0" max="11" min="11" style="0" width="18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15</v>
      </c>
      <c r="D2" s="6" t="n">
        <v>127.93</v>
      </c>
      <c r="E2" s="6" t="n">
        <v>172860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15</v>
      </c>
      <c r="D3" s="6" t="n">
        <v>102.95</v>
      </c>
      <c r="E3" s="6" t="n">
        <v>61844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15</v>
      </c>
      <c r="D4" s="6" t="n">
        <v>7.27</v>
      </c>
      <c r="E4" s="6" t="n">
        <v>6400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15</v>
      </c>
      <c r="D5" s="6" t="n">
        <v>48.6</v>
      </c>
      <c r="E5" s="6" t="n">
        <v>81568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15</v>
      </c>
      <c r="D6" s="6" t="n">
        <v>20.81</v>
      </c>
      <c r="E6" s="6" t="n">
        <v>11408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15</v>
      </c>
      <c r="D7" s="6" t="n">
        <v>63.95</v>
      </c>
      <c r="E7" s="6" t="n">
        <v>28352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15</v>
      </c>
      <c r="D8" s="6" t="n">
        <v>87.18</v>
      </c>
      <c r="E8" s="6" t="n">
        <v>60676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15</v>
      </c>
      <c r="D9" s="6" t="n">
        <v>64.86</v>
      </c>
      <c r="E9" s="6" t="n">
        <v>20800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15</v>
      </c>
      <c r="D10" s="6" t="n">
        <v>49.66</v>
      </c>
      <c r="E10" s="6" t="n">
        <v>19730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15</v>
      </c>
      <c r="D11" s="6" t="n">
        <v>162.34</v>
      </c>
      <c r="E11" s="6" t="n">
        <v>151024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15</v>
      </c>
      <c r="D12" s="11" t="n">
        <f aca="false">Tabelle!E20</f>
        <v>9.6</v>
      </c>
      <c r="E12" s="11" t="n">
        <f aca="false">Tabelle!E36</f>
        <v>6000</v>
      </c>
      <c r="F12" s="11" t="n">
        <f aca="false">Tabelle!E4</f>
        <v>243.969999999987</v>
      </c>
      <c r="G12" s="5"/>
      <c r="H12" s="20" t="n">
        <f aca="false">Tabelle!F121</f>
        <v>0.307</v>
      </c>
      <c r="I12" s="12" t="n">
        <f aca="false">F12*H12</f>
        <v>74.8987899999959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15</v>
      </c>
      <c r="D13" s="11" t="n">
        <f aca="false">Tabelle!E21</f>
        <v>99.3</v>
      </c>
      <c r="E13" s="11" t="n">
        <f aca="false">Tabelle!E37</f>
        <v>50921</v>
      </c>
      <c r="F13" s="11" t="n">
        <f aca="false">Tabelle!E5</f>
        <v>836.26999999999</v>
      </c>
      <c r="G13" s="5"/>
      <c r="H13" s="20" t="n">
        <f aca="false">Tabelle!F122</f>
        <v>0.331</v>
      </c>
      <c r="I13" s="12" t="n">
        <f aca="false">F13*H13</f>
        <v>276.805369999997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15</v>
      </c>
      <c r="D14" s="11" t="n">
        <f aca="false">Tabelle!E22</f>
        <v>112.9</v>
      </c>
      <c r="E14" s="11" t="n">
        <f aca="false">Tabelle!E38</f>
        <v>99119</v>
      </c>
      <c r="F14" s="11" t="n">
        <f aca="false">Tabelle!E6</f>
        <v>1220.5</v>
      </c>
      <c r="G14" s="5"/>
      <c r="H14" s="20" t="n">
        <f aca="false">Tabelle!F123</f>
        <v>0.335</v>
      </c>
      <c r="I14" s="12" t="n">
        <f aca="false">F14*H14</f>
        <v>408.8675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15</v>
      </c>
      <c r="D15" s="11" t="n">
        <f aca="false">Tabelle!E23</f>
        <v>129</v>
      </c>
      <c r="E15" s="11" t="n">
        <f aca="false">Tabelle!E39</f>
        <v>90878</v>
      </c>
      <c r="F15" s="11" t="n">
        <f aca="false">Tabelle!E7</f>
        <v>838.960000000006</v>
      </c>
      <c r="G15" s="5"/>
      <c r="H15" s="20" t="n">
        <f aca="false">Tabelle!F124</f>
        <v>0.334</v>
      </c>
      <c r="I15" s="12" t="n">
        <f aca="false">F15*H15</f>
        <v>280.212640000002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15</v>
      </c>
      <c r="D16" s="11" t="n">
        <f aca="false">Tabelle!E24</f>
        <v>193.5</v>
      </c>
      <c r="E16" s="11" t="n">
        <f aca="false">Tabelle!E40</f>
        <v>182385</v>
      </c>
      <c r="F16" s="11" t="n">
        <f aca="false">Tabelle!E8</f>
        <v>1330.61</v>
      </c>
      <c r="G16" s="5"/>
      <c r="H16" s="20" t="n">
        <f aca="false">Tabelle!F125</f>
        <v>0.286</v>
      </c>
      <c r="I16" s="12" t="n">
        <f aca="false">F16*H16</f>
        <v>380.55446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15</v>
      </c>
      <c r="D17" s="11" t="n">
        <f aca="false">Tabelle!E25</f>
        <v>27.1</v>
      </c>
      <c r="E17" s="11" t="n">
        <f aca="false">Tabelle!E41</f>
        <v>22558</v>
      </c>
      <c r="F17" s="11" t="n">
        <f aca="false">Tabelle!E9</f>
        <v>566.889999999999</v>
      </c>
      <c r="G17" s="5"/>
      <c r="H17" s="20" t="n">
        <f aca="false">Tabelle!F126</f>
        <v>0.2655</v>
      </c>
      <c r="I17" s="12" t="n">
        <f aca="false">F17*H17</f>
        <v>150.509295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15</v>
      </c>
      <c r="D18" s="11" t="n">
        <f aca="false">Tabelle!E26</f>
        <v>22.7</v>
      </c>
      <c r="E18" s="11" t="n">
        <f aca="false">Tabelle!E42</f>
        <v>13000</v>
      </c>
      <c r="F18" s="11" t="n">
        <f aca="false">Tabelle!E10</f>
        <v>460.459999999992</v>
      </c>
      <c r="G18" s="5"/>
      <c r="H18" s="20" t="n">
        <f aca="false">Tabelle!F127</f>
        <v>0.2575</v>
      </c>
      <c r="I18" s="12" t="n">
        <f aca="false">F18*H18</f>
        <v>118.568449999998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15</v>
      </c>
      <c r="D19" s="11" t="n">
        <f aca="false">Tabelle!E27</f>
        <v>66.8</v>
      </c>
      <c r="E19" s="11" t="n">
        <f aca="false">Tabelle!E43</f>
        <v>36424</v>
      </c>
      <c r="F19" s="11" t="n">
        <f aca="false">Tabelle!E11</f>
        <v>1011.51000000001</v>
      </c>
      <c r="G19" s="5"/>
      <c r="H19" s="20" t="n">
        <f aca="false">Tabelle!F128</f>
        <v>0.355</v>
      </c>
      <c r="I19" s="12" t="n">
        <f aca="false">F19*H19</f>
        <v>359.086050000003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15</v>
      </c>
      <c r="D20" s="11" t="n">
        <f aca="false">Tabelle!E28</f>
        <v>201.7</v>
      </c>
      <c r="E20" s="11" t="n">
        <f aca="false">Tabelle!E44</f>
        <v>124631</v>
      </c>
      <c r="F20" s="11" t="n">
        <f aca="false">Tabelle!E12</f>
        <v>1784</v>
      </c>
      <c r="G20" s="5"/>
      <c r="H20" s="20" t="n">
        <f aca="false">Tabelle!F129</f>
        <v>0.296</v>
      </c>
      <c r="I20" s="12" t="n">
        <f aca="false">F20*H20</f>
        <v>528.064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15</v>
      </c>
      <c r="D21" s="11" t="n">
        <f aca="false">Tabelle!E29</f>
        <v>18.37</v>
      </c>
      <c r="E21" s="11" t="n">
        <f aca="false">Tabelle!E45</f>
        <v>9065</v>
      </c>
      <c r="F21" s="11" t="n">
        <f aca="false">Tabelle!E13</f>
        <v>363.289999999994</v>
      </c>
      <c r="G21" s="5"/>
      <c r="H21" s="20" t="n">
        <f aca="false">Tabelle!F130</f>
        <v>0.3268</v>
      </c>
      <c r="I21" s="12" t="n">
        <f aca="false">F21*H21</f>
        <v>118.723171999998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15</v>
      </c>
      <c r="D22" s="11" t="n">
        <f aca="false">Tabelle!E30</f>
        <v>53.02</v>
      </c>
      <c r="E22" s="11" t="n">
        <f aca="false">Tabelle!E46</f>
        <v>44000</v>
      </c>
      <c r="F22" s="11" t="n">
        <f aca="false">Tabelle!E14</f>
        <v>752.919999999998</v>
      </c>
      <c r="G22" s="5"/>
      <c r="H22" s="20" t="n">
        <f aca="false">Tabelle!F131</f>
        <v>0.2732</v>
      </c>
      <c r="I22" s="12" t="n">
        <f aca="false">F22*H22</f>
        <v>205.697744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15</v>
      </c>
      <c r="D23" s="11" t="n">
        <f aca="false">Tabelle!E31</f>
        <v>19.01</v>
      </c>
      <c r="E23" s="11" t="n">
        <f aca="false">Tabelle!E47</f>
        <v>9876</v>
      </c>
      <c r="F23" s="11" t="n">
        <f aca="false">Tabelle!E15</f>
        <v>935.37000000001</v>
      </c>
      <c r="G23" s="5"/>
      <c r="H23" s="20" t="n">
        <f aca="false">Tabelle!F132</f>
        <v>0.2134</v>
      </c>
      <c r="I23" s="12" t="n">
        <f aca="false">F23*H23</f>
        <v>199.607958000002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15</v>
      </c>
      <c r="D24" s="11"/>
      <c r="E24" s="11"/>
      <c r="F24" s="5"/>
      <c r="G24" s="5"/>
      <c r="H24" s="20" t="n">
        <f aca="false">Tabelle!F133</f>
        <v>0.2261</v>
      </c>
      <c r="I24" s="12" t="n">
        <f aca="false">F24*H24</f>
        <v>0</v>
      </c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15</v>
      </c>
      <c r="D25" s="11"/>
      <c r="E25" s="11"/>
      <c r="F25" s="5"/>
      <c r="G25" s="5"/>
      <c r="H25" s="20" t="n">
        <f aca="false">Tabelle!F134</f>
        <v>0</v>
      </c>
      <c r="I25" s="12" t="n">
        <f aca="false">F25*H25</f>
        <v>0</v>
      </c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9" min="8" style="0" width="19.72"/>
    <col collapsed="false" customWidth="true" hidden="false" outlineLevel="0" max="10" min="10" style="0" width="22.86"/>
    <col collapsed="false" customWidth="true" hidden="false" outlineLevel="0" max="11" min="11" style="0" width="19.28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16</v>
      </c>
      <c r="D2" s="6" t="n">
        <v>53.21</v>
      </c>
      <c r="E2" s="6" t="n">
        <v>71235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16</v>
      </c>
      <c r="D3" s="6" t="n">
        <v>7.77</v>
      </c>
      <c r="E3" s="6" t="n">
        <v>11620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16</v>
      </c>
      <c r="D4" s="6" t="n">
        <v>101.11</v>
      </c>
      <c r="E4" s="6" t="n">
        <v>77660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16</v>
      </c>
      <c r="D5" s="6" t="n">
        <v>40.97</v>
      </c>
      <c r="E5" s="6" t="n">
        <v>60016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16</v>
      </c>
      <c r="D6" s="6" t="n">
        <v>176.24</v>
      </c>
      <c r="E6" s="6" t="n">
        <v>58884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16</v>
      </c>
      <c r="D7" s="6" t="n">
        <v>43.78</v>
      </c>
      <c r="E7" s="6" t="n">
        <v>33600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16</v>
      </c>
      <c r="D8" s="6" t="n">
        <v>102.16</v>
      </c>
      <c r="E8" s="6" t="n">
        <v>81250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16</v>
      </c>
      <c r="D9" s="6" t="n">
        <v>16.37</v>
      </c>
      <c r="E9" s="6" t="n">
        <v>13900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16</v>
      </c>
      <c r="D10" s="6" t="n">
        <v>27.76</v>
      </c>
      <c r="E10" s="6" t="n">
        <v>35916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16</v>
      </c>
      <c r="D11" s="6" t="n">
        <v>135.31</v>
      </c>
      <c r="E11" s="6" t="n">
        <v>182384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16</v>
      </c>
      <c r="D12" s="11" t="n">
        <f aca="false">Tabelle!F20</f>
        <v>86.7</v>
      </c>
      <c r="E12" s="11" t="n">
        <f aca="false">Tabelle!F36</f>
        <v>80240</v>
      </c>
      <c r="F12" s="11" t="n">
        <f aca="false">Tabelle!F4</f>
        <v>1109.48</v>
      </c>
      <c r="G12" s="5"/>
      <c r="H12" s="20" t="n">
        <f aca="false">Tabelle!F121</f>
        <v>0.307</v>
      </c>
      <c r="I12" s="12" t="n">
        <f aca="false">F12*H12</f>
        <v>340.61036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16</v>
      </c>
      <c r="D13" s="11" t="n">
        <f aca="false">Tabelle!F21</f>
        <v>49.9</v>
      </c>
      <c r="E13" s="11" t="n">
        <f aca="false">Tabelle!F37</f>
        <v>62800</v>
      </c>
      <c r="F13" s="11" t="n">
        <f aca="false">Tabelle!F5</f>
        <v>727.99</v>
      </c>
      <c r="G13" s="5"/>
      <c r="H13" s="20" t="n">
        <f aca="false">Tabelle!F122</f>
        <v>0.331</v>
      </c>
      <c r="I13" s="12" t="n">
        <f aca="false">F13*H13</f>
        <v>240.96469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16</v>
      </c>
      <c r="D14" s="11" t="n">
        <f aca="false">Tabelle!F22</f>
        <v>50.2</v>
      </c>
      <c r="E14" s="11" t="n">
        <f aca="false">Tabelle!F38</f>
        <v>56800</v>
      </c>
      <c r="F14" s="11" t="n">
        <f aca="false">Tabelle!F6</f>
        <v>966.37</v>
      </c>
      <c r="G14" s="5"/>
      <c r="H14" s="20" t="n">
        <f aca="false">Tabelle!F123</f>
        <v>0.335</v>
      </c>
      <c r="I14" s="12" t="n">
        <f aca="false">F14*H14</f>
        <v>323.73395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16</v>
      </c>
      <c r="D15" s="11" t="n">
        <f aca="false">Tabelle!F23</f>
        <v>214.2</v>
      </c>
      <c r="E15" s="11" t="n">
        <f aca="false">Tabelle!F39</f>
        <v>7216</v>
      </c>
      <c r="F15" s="11" t="n">
        <f aca="false">Tabelle!F7</f>
        <v>768.650000000001</v>
      </c>
      <c r="G15" s="5"/>
      <c r="H15" s="20" t="n">
        <f aca="false">Tabelle!F124</f>
        <v>0.334</v>
      </c>
      <c r="I15" s="12" t="n">
        <f aca="false">F15*H15</f>
        <v>256.7291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16</v>
      </c>
      <c r="D16" s="11" t="n">
        <f aca="false">Tabelle!F24</f>
        <v>278.1</v>
      </c>
      <c r="E16" s="11" t="n">
        <f aca="false">Tabelle!F40</f>
        <v>66544</v>
      </c>
      <c r="F16" s="11" t="n">
        <f aca="false">Tabelle!F8</f>
        <v>1248.24</v>
      </c>
      <c r="G16" s="5"/>
      <c r="H16" s="20" t="n">
        <f aca="false">Tabelle!F125</f>
        <v>0.286</v>
      </c>
      <c r="I16" s="12" t="n">
        <f aca="false">F16*H16</f>
        <v>356.99664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16</v>
      </c>
      <c r="D17" s="11" t="n">
        <f aca="false">Tabelle!F25</f>
        <v>43</v>
      </c>
      <c r="E17" s="11" t="n">
        <f aca="false">Tabelle!F41</f>
        <v>44400</v>
      </c>
      <c r="F17" s="11" t="n">
        <f aca="false">Tabelle!F9</f>
        <v>1022.11</v>
      </c>
      <c r="G17" s="5"/>
      <c r="H17" s="20" t="n">
        <f aca="false">Tabelle!F126</f>
        <v>0.2655</v>
      </c>
      <c r="I17" s="12" t="n">
        <f aca="false">F17*H17</f>
        <v>271.370205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16</v>
      </c>
      <c r="D18" s="11" t="n">
        <f aca="false">Tabelle!F26</f>
        <v>66</v>
      </c>
      <c r="E18" s="11" t="n">
        <f aca="false">Tabelle!F42</f>
        <v>45988</v>
      </c>
      <c r="F18" s="11" t="n">
        <f aca="false">Tabelle!F10</f>
        <v>1035.31</v>
      </c>
      <c r="G18" s="5"/>
      <c r="H18" s="20" t="n">
        <f aca="false">Tabelle!F127</f>
        <v>0.2575</v>
      </c>
      <c r="I18" s="12" t="n">
        <f aca="false">F18*H18</f>
        <v>266.592325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16</v>
      </c>
      <c r="D19" s="11" t="n">
        <f aca="false">Tabelle!F27</f>
        <v>30.6</v>
      </c>
      <c r="E19" s="11" t="n">
        <f aca="false">Tabelle!F43</f>
        <v>25456</v>
      </c>
      <c r="F19" s="11" t="n">
        <f aca="false">Tabelle!F11</f>
        <v>658.189999999999</v>
      </c>
      <c r="G19" s="5"/>
      <c r="H19" s="20" t="n">
        <f aca="false">Tabelle!F128</f>
        <v>0.355</v>
      </c>
      <c r="I19" s="12" t="n">
        <f aca="false">F19*H19</f>
        <v>233.65745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16</v>
      </c>
      <c r="D20" s="11" t="n">
        <f aca="false">Tabelle!F28</f>
        <v>72.5</v>
      </c>
      <c r="E20" s="11" t="n">
        <f aca="false">Tabelle!F44</f>
        <v>85935</v>
      </c>
      <c r="F20" s="11" t="n">
        <f aca="false">Tabelle!F12</f>
        <v>1172.1</v>
      </c>
      <c r="G20" s="5"/>
      <c r="H20" s="20" t="n">
        <f aca="false">Tabelle!F129</f>
        <v>0.296</v>
      </c>
      <c r="I20" s="12" t="n">
        <f aca="false">F20*H20</f>
        <v>346.9416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16</v>
      </c>
      <c r="D21" s="11" t="n">
        <f aca="false">Tabelle!F29</f>
        <v>20.61</v>
      </c>
      <c r="E21" s="11" t="n">
        <f aca="false">Tabelle!F45</f>
        <v>18480</v>
      </c>
      <c r="F21" s="11" t="n">
        <f aca="false">Tabelle!F13</f>
        <v>211.58</v>
      </c>
      <c r="G21" s="5"/>
      <c r="H21" s="20" t="n">
        <f aca="false">Tabelle!F130</f>
        <v>0.3268</v>
      </c>
      <c r="I21" s="12" t="n">
        <f aca="false">F21*H21</f>
        <v>69.144344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16</v>
      </c>
      <c r="D22" s="11" t="n">
        <f aca="false">Tabelle!F30</f>
        <v>30.81</v>
      </c>
      <c r="E22" s="11" t="n">
        <f aca="false">Tabelle!F46</f>
        <v>33648</v>
      </c>
      <c r="F22" s="11" t="n">
        <f aca="false">Tabelle!F14</f>
        <v>1024.98</v>
      </c>
      <c r="G22" s="5"/>
      <c r="H22" s="20" t="n">
        <f aca="false">Tabelle!F131</f>
        <v>0.2732</v>
      </c>
      <c r="I22" s="12" t="n">
        <f aca="false">F22*H22</f>
        <v>280.024536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16</v>
      </c>
      <c r="D23" s="11" t="n">
        <f aca="false">Tabelle!F31</f>
        <v>0</v>
      </c>
      <c r="E23" s="11" t="n">
        <f aca="false">Tabelle!F47</f>
        <v>0</v>
      </c>
      <c r="F23" s="11" t="n">
        <f aca="false">Tabelle!F15</f>
        <v>445.950000000001</v>
      </c>
      <c r="G23" s="5"/>
      <c r="H23" s="20" t="n">
        <f aca="false">Tabelle!F132</f>
        <v>0.2134</v>
      </c>
      <c r="I23" s="12" t="n">
        <f aca="false">F23*H23</f>
        <v>95.1657300000002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16</v>
      </c>
      <c r="D24" s="5"/>
      <c r="E24" s="5"/>
      <c r="F24" s="5"/>
      <c r="G24" s="5"/>
      <c r="H24" s="20" t="n">
        <f aca="false">Tabelle!F133</f>
        <v>0.2261</v>
      </c>
      <c r="I24" s="6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16</v>
      </c>
      <c r="D25" s="5"/>
      <c r="E25" s="5"/>
      <c r="F25" s="5"/>
      <c r="G25" s="5"/>
      <c r="H25" s="20" t="n">
        <f aca="false">Tabelle!F134</f>
        <v>0</v>
      </c>
      <c r="I25" s="6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7.57"/>
    <col collapsed="false" customWidth="true" hidden="false" outlineLevel="0" max="9" min="9" style="0" width="22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21" t="s">
        <v>41</v>
      </c>
      <c r="B1" s="21" t="s">
        <v>42</v>
      </c>
      <c r="C1" s="21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3" t="s">
        <v>50</v>
      </c>
      <c r="K1" s="23" t="s">
        <v>51</v>
      </c>
    </row>
    <row r="2" customFormat="false" ht="15" hidden="false" customHeight="false" outlineLevel="0" collapsed="false">
      <c r="A2" s="24" t="n">
        <v>2024</v>
      </c>
      <c r="B2" s="24" t="n">
        <v>1</v>
      </c>
      <c r="C2" s="25" t="s">
        <v>17</v>
      </c>
      <c r="D2" s="26" t="n">
        <v>117.3</v>
      </c>
      <c r="E2" s="26" t="n">
        <v>54560</v>
      </c>
      <c r="F2" s="25"/>
      <c r="G2" s="25"/>
      <c r="H2" s="27" t="n">
        <f aca="false">Tabelle!F111</f>
        <v>0.2557</v>
      </c>
      <c r="I2" s="2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24" t="n">
        <v>2024</v>
      </c>
      <c r="B3" s="24" t="n">
        <v>2</v>
      </c>
      <c r="C3" s="25" t="s">
        <v>17</v>
      </c>
      <c r="D3" s="26" t="n">
        <v>187.55</v>
      </c>
      <c r="E3" s="26" t="n">
        <v>82968</v>
      </c>
      <c r="F3" s="25"/>
      <c r="G3" s="25"/>
      <c r="H3" s="27" t="n">
        <f aca="false">Tabelle!F112</f>
        <v>0.2378</v>
      </c>
      <c r="I3" s="2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24" t="n">
        <v>2024</v>
      </c>
      <c r="B4" s="24" t="n">
        <v>3</v>
      </c>
      <c r="C4" s="25" t="s">
        <v>17</v>
      </c>
      <c r="D4" s="26" t="n">
        <v>3.82</v>
      </c>
      <c r="E4" s="26" t="n">
        <v>1872</v>
      </c>
      <c r="F4" s="25"/>
      <c r="G4" s="25"/>
      <c r="H4" s="27" t="n">
        <f aca="false">Tabelle!F113</f>
        <v>0.2428</v>
      </c>
      <c r="I4" s="2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24" t="n">
        <v>2024</v>
      </c>
      <c r="B5" s="24" t="n">
        <v>4</v>
      </c>
      <c r="C5" s="25" t="s">
        <v>17</v>
      </c>
      <c r="D5" s="26" t="n">
        <v>41.12</v>
      </c>
      <c r="E5" s="26" t="n">
        <v>3948</v>
      </c>
      <c r="F5" s="25"/>
      <c r="G5" s="25"/>
      <c r="H5" s="27" t="n">
        <f aca="false">Tabelle!F114</f>
        <v>0.2416</v>
      </c>
      <c r="I5" s="2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24" t="n">
        <v>2024</v>
      </c>
      <c r="B6" s="24" t="n">
        <v>5</v>
      </c>
      <c r="C6" s="25" t="s">
        <v>17</v>
      </c>
      <c r="D6" s="26" t="n">
        <v>243.62</v>
      </c>
      <c r="E6" s="26" t="n">
        <v>23364</v>
      </c>
      <c r="F6" s="25"/>
      <c r="G6" s="25"/>
      <c r="H6" s="27" t="n">
        <f aca="false">Tabelle!F115</f>
        <v>0.2507</v>
      </c>
      <c r="I6" s="2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24" t="n">
        <v>2024</v>
      </c>
      <c r="B7" s="24" t="n">
        <v>6</v>
      </c>
      <c r="C7" s="25" t="s">
        <v>17</v>
      </c>
      <c r="D7" s="26" t="n">
        <v>22.67</v>
      </c>
      <c r="E7" s="26" t="n">
        <v>8150</v>
      </c>
      <c r="F7" s="25"/>
      <c r="G7" s="25"/>
      <c r="H7" s="27" t="n">
        <f aca="false">Tabelle!F116</f>
        <v>0.2722</v>
      </c>
      <c r="I7" s="2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24" t="n">
        <v>2024</v>
      </c>
      <c r="B8" s="24" t="n">
        <v>7</v>
      </c>
      <c r="C8" s="25" t="s">
        <v>17</v>
      </c>
      <c r="D8" s="26" t="n">
        <v>198.35</v>
      </c>
      <c r="E8" s="26" t="n">
        <v>47590</v>
      </c>
      <c r="F8" s="25"/>
      <c r="G8" s="25"/>
      <c r="H8" s="27" t="n">
        <f aca="false">Tabelle!F117</f>
        <v>0.287</v>
      </c>
      <c r="I8" s="2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24" t="n">
        <v>2024</v>
      </c>
      <c r="B9" s="24" t="n">
        <v>8</v>
      </c>
      <c r="C9" s="25" t="s">
        <v>17</v>
      </c>
      <c r="D9" s="26" t="n">
        <v>35.06</v>
      </c>
      <c r="E9" s="26" t="n">
        <v>17544</v>
      </c>
      <c r="F9" s="25"/>
      <c r="G9" s="25"/>
      <c r="H9" s="27" t="n">
        <f aca="false">Tabelle!F118</f>
        <v>0.3047</v>
      </c>
      <c r="I9" s="2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24" t="n">
        <v>2024</v>
      </c>
      <c r="B10" s="24" t="n">
        <v>9</v>
      </c>
      <c r="C10" s="25" t="s">
        <v>17</v>
      </c>
      <c r="D10" s="26" t="n">
        <v>66.39</v>
      </c>
      <c r="E10" s="26" t="n">
        <v>29790</v>
      </c>
      <c r="F10" s="25"/>
      <c r="G10" s="25"/>
      <c r="H10" s="27" t="n">
        <f aca="false">Tabelle!F119</f>
        <v>0.2904</v>
      </c>
      <c r="I10" s="2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24" t="n">
        <v>2024</v>
      </c>
      <c r="B11" s="24" t="n">
        <v>10</v>
      </c>
      <c r="C11" s="25" t="s">
        <v>17</v>
      </c>
      <c r="D11" s="26" t="n">
        <v>0</v>
      </c>
      <c r="E11" s="26" t="n">
        <v>0</v>
      </c>
      <c r="F11" s="25"/>
      <c r="G11" s="25"/>
      <c r="H11" s="27" t="n">
        <f aca="false">Tabelle!F120</f>
        <v>0.2856</v>
      </c>
      <c r="I11" s="2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24" t="n">
        <v>2024</v>
      </c>
      <c r="B12" s="24" t="n">
        <v>11</v>
      </c>
      <c r="C12" s="25" t="s">
        <v>17</v>
      </c>
      <c r="D12" s="11" t="n">
        <f aca="false">Tabelle!G20</f>
        <v>145.9</v>
      </c>
      <c r="E12" s="11" t="n">
        <f aca="false">Tabelle!G36</f>
        <v>67158</v>
      </c>
      <c r="F12" s="11" t="n">
        <f aca="false">Tabelle!G4</f>
        <v>1373.24</v>
      </c>
      <c r="G12" s="25"/>
      <c r="H12" s="27" t="n">
        <f aca="false">Tabelle!F121</f>
        <v>0.307</v>
      </c>
      <c r="I12" s="28" t="n">
        <f aca="false">F12*H12</f>
        <v>421.58468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24" t="n">
        <v>2024</v>
      </c>
      <c r="B13" s="24" t="n">
        <v>12</v>
      </c>
      <c r="C13" s="25" t="s">
        <v>17</v>
      </c>
      <c r="D13" s="11" t="n">
        <f aca="false">Tabelle!G21</f>
        <v>61</v>
      </c>
      <c r="E13" s="11" t="n">
        <f aca="false">Tabelle!G37</f>
        <v>26980</v>
      </c>
      <c r="F13" s="11" t="n">
        <f aca="false">Tabelle!G5</f>
        <v>597.15</v>
      </c>
      <c r="G13" s="25"/>
      <c r="H13" s="27" t="n">
        <f aca="false">Tabelle!F122</f>
        <v>0.331</v>
      </c>
      <c r="I13" s="28" t="n">
        <f aca="false">F13*H13</f>
        <v>197.65665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29" t="n">
        <v>2025</v>
      </c>
      <c r="B14" s="29" t="n">
        <v>1</v>
      </c>
      <c r="C14" s="25" t="s">
        <v>17</v>
      </c>
      <c r="D14" s="11" t="n">
        <f aca="false">Tabelle!G22</f>
        <v>96</v>
      </c>
      <c r="E14" s="11" t="n">
        <f aca="false">Tabelle!G38</f>
        <v>41000</v>
      </c>
      <c r="F14" s="11" t="n">
        <f aca="false">Tabelle!G6</f>
        <v>824.66</v>
      </c>
      <c r="G14" s="25"/>
      <c r="H14" s="27" t="n">
        <f aca="false">Tabelle!F123</f>
        <v>0.335</v>
      </c>
      <c r="I14" s="28" t="n">
        <f aca="false">F14*H14</f>
        <v>276.2611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29" t="n">
        <v>2025</v>
      </c>
      <c r="B15" s="29" t="n">
        <v>2</v>
      </c>
      <c r="C15" s="25" t="s">
        <v>17</v>
      </c>
      <c r="D15" s="11" t="n">
        <f aca="false">Tabelle!G23</f>
        <v>66.9</v>
      </c>
      <c r="E15" s="11" t="n">
        <f aca="false">Tabelle!G39</f>
        <v>21616</v>
      </c>
      <c r="F15" s="11" t="n">
        <f aca="false">Tabelle!G7</f>
        <v>747.68</v>
      </c>
      <c r="G15" s="25"/>
      <c r="H15" s="27" t="n">
        <f aca="false">Tabelle!F124</f>
        <v>0.334</v>
      </c>
      <c r="I15" s="28" t="n">
        <f aca="false">F15*H15</f>
        <v>249.72512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29" t="n">
        <v>2025</v>
      </c>
      <c r="B16" s="29" t="n">
        <v>3</v>
      </c>
      <c r="C16" s="25" t="s">
        <v>17</v>
      </c>
      <c r="D16" s="11" t="n">
        <f aca="false">Tabelle!G24</f>
        <v>202.5</v>
      </c>
      <c r="E16" s="11" t="n">
        <f aca="false">Tabelle!G40</f>
        <v>40006</v>
      </c>
      <c r="F16" s="11" t="n">
        <f aca="false">Tabelle!G8</f>
        <v>1177.48</v>
      </c>
      <c r="G16" s="25"/>
      <c r="H16" s="27" t="n">
        <f aca="false">Tabelle!F125</f>
        <v>0.286</v>
      </c>
      <c r="I16" s="28" t="n">
        <f aca="false">F16*H16</f>
        <v>336.75928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29" t="n">
        <v>2025</v>
      </c>
      <c r="B17" s="29" t="n">
        <v>4</v>
      </c>
      <c r="C17" s="25" t="s">
        <v>17</v>
      </c>
      <c r="D17" s="11" t="n">
        <f aca="false">Tabelle!G25</f>
        <v>124.6</v>
      </c>
      <c r="E17" s="11" t="n">
        <f aca="false">Tabelle!G41</f>
        <v>22826</v>
      </c>
      <c r="F17" s="11" t="n">
        <f aca="false">Tabelle!G9</f>
        <v>728.780000000001</v>
      </c>
      <c r="G17" s="25"/>
      <c r="H17" s="27" t="n">
        <f aca="false">Tabelle!F126</f>
        <v>0.2655</v>
      </c>
      <c r="I17" s="28" t="n">
        <f aca="false">F17*H17</f>
        <v>193.49109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29" t="n">
        <v>2025</v>
      </c>
      <c r="B18" s="29" t="n">
        <v>5</v>
      </c>
      <c r="C18" s="25" t="s">
        <v>17</v>
      </c>
      <c r="D18" s="11" t="n">
        <f aca="false">Tabelle!G26</f>
        <v>116.7</v>
      </c>
      <c r="E18" s="11" t="n">
        <f aca="false">Tabelle!G42</f>
        <v>44200</v>
      </c>
      <c r="F18" s="11" t="n">
        <f aca="false">Tabelle!G10</f>
        <v>1032.12</v>
      </c>
      <c r="G18" s="25"/>
      <c r="H18" s="27" t="n">
        <f aca="false">Tabelle!F127</f>
        <v>0.2575</v>
      </c>
      <c r="I18" s="28" t="n">
        <f aca="false">F18*H18</f>
        <v>265.7709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29" t="n">
        <v>2025</v>
      </c>
      <c r="B19" s="29" t="n">
        <v>6</v>
      </c>
      <c r="C19" s="25" t="s">
        <v>17</v>
      </c>
      <c r="D19" s="11" t="n">
        <f aca="false">Tabelle!G27</f>
        <v>51.6</v>
      </c>
      <c r="E19" s="11" t="n">
        <f aca="false">Tabelle!G43</f>
        <v>33550</v>
      </c>
      <c r="F19" s="11" t="n">
        <f aca="false">Tabelle!G11</f>
        <v>551.61</v>
      </c>
      <c r="G19" s="25"/>
      <c r="H19" s="27" t="n">
        <f aca="false">Tabelle!F128</f>
        <v>0.355</v>
      </c>
      <c r="I19" s="28" t="n">
        <f aca="false">F19*H19</f>
        <v>195.82155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29" t="n">
        <v>2025</v>
      </c>
      <c r="B20" s="29" t="n">
        <v>7</v>
      </c>
      <c r="C20" s="25" t="s">
        <v>17</v>
      </c>
      <c r="D20" s="11" t="n">
        <f aca="false">Tabelle!G28</f>
        <v>32.6</v>
      </c>
      <c r="E20" s="11" t="n">
        <f aca="false">Tabelle!G44</f>
        <v>41334</v>
      </c>
      <c r="F20" s="11" t="n">
        <f aca="false">Tabelle!G12</f>
        <v>446.96</v>
      </c>
      <c r="G20" s="25"/>
      <c r="H20" s="27" t="n">
        <f aca="false">Tabelle!F129</f>
        <v>0.296</v>
      </c>
      <c r="I20" s="28" t="n">
        <f aca="false">F20*H20</f>
        <v>132.30016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29" t="n">
        <v>2025</v>
      </c>
      <c r="B21" s="29" t="n">
        <v>8</v>
      </c>
      <c r="C21" s="25" t="s">
        <v>17</v>
      </c>
      <c r="D21" s="11" t="n">
        <f aca="false">Tabelle!G29</f>
        <v>2.08</v>
      </c>
      <c r="E21" s="11" t="n">
        <f aca="false">Tabelle!G45</f>
        <v>200</v>
      </c>
      <c r="F21" s="11" t="n">
        <f aca="false">Tabelle!G13</f>
        <v>113.360000000001</v>
      </c>
      <c r="G21" s="25"/>
      <c r="H21" s="27" t="n">
        <f aca="false">Tabelle!F130</f>
        <v>0.3268</v>
      </c>
      <c r="I21" s="28" t="n">
        <f aca="false">F21*H21</f>
        <v>37.0460480000002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29" t="n">
        <v>2025</v>
      </c>
      <c r="B22" s="29" t="n">
        <v>9</v>
      </c>
      <c r="C22" s="25" t="s">
        <v>17</v>
      </c>
      <c r="D22" s="11" t="n">
        <f aca="false">Tabelle!G30</f>
        <v>78.24</v>
      </c>
      <c r="E22" s="11" t="n">
        <f aca="false">Tabelle!G46</f>
        <v>52692</v>
      </c>
      <c r="F22" s="11" t="n">
        <f aca="false">Tabelle!G14</f>
        <v>672.85</v>
      </c>
      <c r="G22" s="25"/>
      <c r="H22" s="27" t="n">
        <f aca="false">Tabelle!F131</f>
        <v>0.2732</v>
      </c>
      <c r="I22" s="28" t="n">
        <f aca="false">F22*H22</f>
        <v>183.82262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29" t="n">
        <v>2025</v>
      </c>
      <c r="B23" s="29" t="n">
        <v>10</v>
      </c>
      <c r="C23" s="25" t="s">
        <v>17</v>
      </c>
      <c r="D23" s="11" t="n">
        <f aca="false">Tabelle!G31</f>
        <v>60.92</v>
      </c>
      <c r="E23" s="11" t="n">
        <f aca="false">Tabelle!G47</f>
        <v>29500</v>
      </c>
      <c r="F23" s="11" t="n">
        <f aca="false">Tabelle!G15</f>
        <v>897.529999999999</v>
      </c>
      <c r="G23" s="25"/>
      <c r="H23" s="27" t="n">
        <f aca="false">Tabelle!F132</f>
        <v>0.2134</v>
      </c>
      <c r="I23" s="28" t="n">
        <f aca="false">F23*H23</f>
        <v>191.532902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29" t="n">
        <v>2025</v>
      </c>
      <c r="B24" s="29" t="n">
        <v>11</v>
      </c>
      <c r="C24" s="25" t="s">
        <v>17</v>
      </c>
      <c r="D24" s="25"/>
      <c r="E24" s="25"/>
      <c r="F24" s="25"/>
      <c r="G24" s="25"/>
      <c r="H24" s="27" t="n">
        <f aca="false">Tabelle!F133</f>
        <v>0.2261</v>
      </c>
      <c r="I24" s="2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29" t="n">
        <v>2025</v>
      </c>
      <c r="B25" s="29" t="n">
        <v>12</v>
      </c>
      <c r="C25" s="25" t="s">
        <v>17</v>
      </c>
      <c r="D25" s="25"/>
      <c r="E25" s="25"/>
      <c r="F25" s="25"/>
      <c r="G25" s="25"/>
      <c r="H25" s="27" t="n">
        <f aca="false">Tabelle!F134</f>
        <v>0</v>
      </c>
      <c r="I25" s="2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5.86"/>
    <col collapsed="false" customWidth="true" hidden="false" outlineLevel="0" max="9" min="9" style="0" width="18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21" t="s">
        <v>41</v>
      </c>
      <c r="B1" s="21" t="s">
        <v>42</v>
      </c>
      <c r="C1" s="21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3" t="s">
        <v>50</v>
      </c>
      <c r="K1" s="23" t="s">
        <v>51</v>
      </c>
    </row>
    <row r="2" customFormat="false" ht="15" hidden="false" customHeight="false" outlineLevel="0" collapsed="false">
      <c r="A2" s="24" t="n">
        <v>2024</v>
      </c>
      <c r="B2" s="24" t="n">
        <v>1</v>
      </c>
      <c r="C2" s="25" t="s">
        <v>18</v>
      </c>
      <c r="D2" s="26" t="n">
        <v>129.86</v>
      </c>
      <c r="E2" s="26" t="n">
        <v>145474</v>
      </c>
      <c r="F2" s="25"/>
      <c r="G2" s="25"/>
      <c r="H2" s="27" t="n">
        <f aca="false">Tabelle!F111</f>
        <v>0.2557</v>
      </c>
      <c r="I2" s="2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24" t="n">
        <v>2024</v>
      </c>
      <c r="B3" s="24" t="n">
        <v>2</v>
      </c>
      <c r="C3" s="25" t="s">
        <v>18</v>
      </c>
      <c r="D3" s="26" t="n">
        <v>52.81</v>
      </c>
      <c r="E3" s="26" t="n">
        <v>53208</v>
      </c>
      <c r="F3" s="25"/>
      <c r="G3" s="25"/>
      <c r="H3" s="27" t="n">
        <f aca="false">Tabelle!F112</f>
        <v>0.2378</v>
      </c>
      <c r="I3" s="2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24" t="n">
        <v>2024</v>
      </c>
      <c r="B4" s="24" t="n">
        <v>3</v>
      </c>
      <c r="C4" s="25" t="s">
        <v>18</v>
      </c>
      <c r="D4" s="26" t="n">
        <v>172.01</v>
      </c>
      <c r="E4" s="26" t="n">
        <v>61792</v>
      </c>
      <c r="F4" s="25"/>
      <c r="G4" s="25"/>
      <c r="H4" s="27" t="n">
        <f aca="false">Tabelle!F113</f>
        <v>0.2428</v>
      </c>
      <c r="I4" s="2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24" t="n">
        <v>2024</v>
      </c>
      <c r="B5" s="24" t="n">
        <v>4</v>
      </c>
      <c r="C5" s="25" t="s">
        <v>18</v>
      </c>
      <c r="D5" s="26" t="n">
        <v>9.83</v>
      </c>
      <c r="E5" s="26" t="n">
        <v>5000</v>
      </c>
      <c r="F5" s="25"/>
      <c r="G5" s="25"/>
      <c r="H5" s="27" t="n">
        <f aca="false">Tabelle!F114</f>
        <v>0.2416</v>
      </c>
      <c r="I5" s="2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24" t="n">
        <v>2024</v>
      </c>
      <c r="B6" s="24" t="n">
        <v>5</v>
      </c>
      <c r="C6" s="25" t="s">
        <v>18</v>
      </c>
      <c r="D6" s="26" t="n">
        <v>37.41</v>
      </c>
      <c r="E6" s="26" t="n">
        <v>17596</v>
      </c>
      <c r="F6" s="25"/>
      <c r="G6" s="25"/>
      <c r="H6" s="27" t="n">
        <f aca="false">Tabelle!F115</f>
        <v>0.2507</v>
      </c>
      <c r="I6" s="2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24" t="n">
        <v>2024</v>
      </c>
      <c r="B7" s="24" t="n">
        <v>6</v>
      </c>
      <c r="C7" s="25" t="s">
        <v>18</v>
      </c>
      <c r="D7" s="26" t="n">
        <v>34.11</v>
      </c>
      <c r="E7" s="26" t="n">
        <v>6200</v>
      </c>
      <c r="F7" s="25"/>
      <c r="G7" s="25"/>
      <c r="H7" s="27" t="n">
        <f aca="false">Tabelle!F116</f>
        <v>0.2722</v>
      </c>
      <c r="I7" s="2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24" t="n">
        <v>2024</v>
      </c>
      <c r="B8" s="24" t="n">
        <v>7</v>
      </c>
      <c r="C8" s="25" t="s">
        <v>18</v>
      </c>
      <c r="D8" s="26" t="n">
        <v>20.08</v>
      </c>
      <c r="E8" s="26" t="n">
        <v>9210</v>
      </c>
      <c r="F8" s="25"/>
      <c r="G8" s="25"/>
      <c r="H8" s="27" t="n">
        <f aca="false">Tabelle!F117</f>
        <v>0.287</v>
      </c>
      <c r="I8" s="2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24" t="n">
        <v>2024</v>
      </c>
      <c r="B9" s="24" t="n">
        <v>8</v>
      </c>
      <c r="C9" s="25" t="s">
        <v>18</v>
      </c>
      <c r="D9" s="26" t="n">
        <v>84.86</v>
      </c>
      <c r="E9" s="26" t="n">
        <v>38850</v>
      </c>
      <c r="F9" s="25"/>
      <c r="G9" s="25"/>
      <c r="H9" s="27" t="n">
        <f aca="false">Tabelle!F118</f>
        <v>0.3047</v>
      </c>
      <c r="I9" s="2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24" t="n">
        <v>2024</v>
      </c>
      <c r="B10" s="24" t="n">
        <v>9</v>
      </c>
      <c r="C10" s="25" t="s">
        <v>18</v>
      </c>
      <c r="D10" s="26" t="n">
        <v>52.05</v>
      </c>
      <c r="E10" s="26" t="n">
        <v>22439</v>
      </c>
      <c r="F10" s="25"/>
      <c r="G10" s="25"/>
      <c r="H10" s="27" t="n">
        <f aca="false">Tabelle!F119</f>
        <v>0.2904</v>
      </c>
      <c r="I10" s="2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24" t="n">
        <v>2024</v>
      </c>
      <c r="B11" s="24" t="n">
        <v>10</v>
      </c>
      <c r="C11" s="25" t="s">
        <v>18</v>
      </c>
      <c r="D11" s="26" t="n">
        <v>51.1</v>
      </c>
      <c r="E11" s="26" t="n">
        <v>22392</v>
      </c>
      <c r="F11" s="25"/>
      <c r="G11" s="25"/>
      <c r="H11" s="27" t="n">
        <f aca="false">Tabelle!F120</f>
        <v>0.2856</v>
      </c>
      <c r="I11" s="2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24" t="n">
        <v>2024</v>
      </c>
      <c r="B12" s="24" t="n">
        <v>11</v>
      </c>
      <c r="C12" s="25" t="s">
        <v>18</v>
      </c>
      <c r="D12" s="11" t="n">
        <f aca="false">Tabelle!H20</f>
        <v>175.2</v>
      </c>
      <c r="E12" s="11" t="n">
        <f aca="false">Tabelle!H36</f>
        <v>86620</v>
      </c>
      <c r="F12" s="11" t="n">
        <f aca="false">Tabelle!H4</f>
        <v>1496.8</v>
      </c>
      <c r="G12" s="25"/>
      <c r="H12" s="27" t="n">
        <f aca="false">Tabelle!F121</f>
        <v>0.307</v>
      </c>
      <c r="I12" s="28" t="n">
        <f aca="false">F12*H12</f>
        <v>459.5176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24" t="n">
        <v>2024</v>
      </c>
      <c r="B13" s="24" t="n">
        <v>12</v>
      </c>
      <c r="C13" s="25" t="s">
        <v>18</v>
      </c>
      <c r="D13" s="11" t="n">
        <f aca="false">Tabelle!H21</f>
        <v>103.7</v>
      </c>
      <c r="E13" s="11" t="n">
        <f aca="false">Tabelle!H37</f>
        <v>60888</v>
      </c>
      <c r="F13" s="11" t="n">
        <f aca="false">Tabelle!H5</f>
        <v>1222.84</v>
      </c>
      <c r="G13" s="25"/>
      <c r="H13" s="27" t="n">
        <f aca="false">Tabelle!F122</f>
        <v>0.331</v>
      </c>
      <c r="I13" s="28" t="n">
        <f aca="false">F13*H13</f>
        <v>404.76004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29" t="n">
        <v>2025</v>
      </c>
      <c r="B14" s="29" t="n">
        <v>1</v>
      </c>
      <c r="C14" s="25" t="s">
        <v>18</v>
      </c>
      <c r="D14" s="11" t="n">
        <f aca="false">Tabelle!H22</f>
        <v>130.7</v>
      </c>
      <c r="E14" s="11" t="n">
        <f aca="false">Tabelle!H38</f>
        <v>35268</v>
      </c>
      <c r="F14" s="11" t="n">
        <f aca="false">Tabelle!H6</f>
        <v>828.56</v>
      </c>
      <c r="G14" s="25"/>
      <c r="H14" s="27" t="n">
        <f aca="false">Tabelle!F123</f>
        <v>0.335</v>
      </c>
      <c r="I14" s="28" t="n">
        <f aca="false">F14*H14</f>
        <v>277.5676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29" t="n">
        <v>2025</v>
      </c>
      <c r="B15" s="29" t="n">
        <v>2</v>
      </c>
      <c r="C15" s="25" t="s">
        <v>18</v>
      </c>
      <c r="D15" s="11" t="n">
        <f aca="false">Tabelle!H23</f>
        <v>39.5</v>
      </c>
      <c r="E15" s="11" t="n">
        <f aca="false">Tabelle!H39</f>
        <v>10207</v>
      </c>
      <c r="F15" s="11" t="n">
        <f aca="false">Tabelle!H7</f>
        <v>644.72</v>
      </c>
      <c r="G15" s="25"/>
      <c r="H15" s="27" t="n">
        <f aca="false">Tabelle!F124</f>
        <v>0.334</v>
      </c>
      <c r="I15" s="28" t="n">
        <f aca="false">F15*H15</f>
        <v>215.33648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29" t="n">
        <v>2025</v>
      </c>
      <c r="B16" s="29" t="n">
        <v>3</v>
      </c>
      <c r="C16" s="25" t="s">
        <v>18</v>
      </c>
      <c r="D16" s="11" t="n">
        <f aca="false">Tabelle!H24</f>
        <v>74.3</v>
      </c>
      <c r="E16" s="11" t="n">
        <f aca="false">Tabelle!H40</f>
        <v>36000</v>
      </c>
      <c r="F16" s="11" t="n">
        <f aca="false">Tabelle!H8</f>
        <v>1169.04</v>
      </c>
      <c r="G16" s="25"/>
      <c r="H16" s="27" t="n">
        <f aca="false">Tabelle!F125</f>
        <v>0.286</v>
      </c>
      <c r="I16" s="28" t="n">
        <f aca="false">F16*H16</f>
        <v>334.34544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29" t="n">
        <v>2025</v>
      </c>
      <c r="B17" s="29" t="n">
        <v>4</v>
      </c>
      <c r="C17" s="25" t="s">
        <v>18</v>
      </c>
      <c r="D17" s="11" t="n">
        <f aca="false">Tabelle!H25</f>
        <v>47.6</v>
      </c>
      <c r="E17" s="11" t="n">
        <f aca="false">Tabelle!H41</f>
        <v>26552</v>
      </c>
      <c r="F17" s="11" t="n">
        <f aca="false">Tabelle!H9</f>
        <v>911.759999999999</v>
      </c>
      <c r="G17" s="25"/>
      <c r="H17" s="27" t="n">
        <f aca="false">Tabelle!F126</f>
        <v>0.2655</v>
      </c>
      <c r="I17" s="28" t="n">
        <f aca="false">F17*H17</f>
        <v>242.07228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29" t="n">
        <v>2025</v>
      </c>
      <c r="B18" s="29" t="n">
        <v>5</v>
      </c>
      <c r="C18" s="25" t="s">
        <v>18</v>
      </c>
      <c r="D18" s="11" t="n">
        <f aca="false">Tabelle!H26</f>
        <v>0</v>
      </c>
      <c r="E18" s="11" t="n">
        <f aca="false">Tabelle!H42</f>
        <v>0</v>
      </c>
      <c r="F18" s="11" t="n">
        <f aca="false">Tabelle!H10</f>
        <v>341.740000000001</v>
      </c>
      <c r="G18" s="25"/>
      <c r="H18" s="27" t="n">
        <f aca="false">Tabelle!F127</f>
        <v>0.2575</v>
      </c>
      <c r="I18" s="28" t="n">
        <f aca="false">F18*H18</f>
        <v>87.9980500000002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29" t="n">
        <v>2025</v>
      </c>
      <c r="B19" s="29" t="n">
        <v>6</v>
      </c>
      <c r="C19" s="25" t="s">
        <v>18</v>
      </c>
      <c r="D19" s="11" t="n">
        <f aca="false">Tabelle!H27</f>
        <v>47.1</v>
      </c>
      <c r="E19" s="11" t="n">
        <f aca="false">Tabelle!H43</f>
        <v>14836</v>
      </c>
      <c r="F19" s="11" t="n">
        <f aca="false">Tabelle!H11</f>
        <v>711.03</v>
      </c>
      <c r="G19" s="25"/>
      <c r="H19" s="27" t="n">
        <f aca="false">Tabelle!F128</f>
        <v>0.355</v>
      </c>
      <c r="I19" s="28" t="n">
        <f aca="false">F19*H19</f>
        <v>252.41565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29" t="n">
        <v>2025</v>
      </c>
      <c r="B20" s="29" t="n">
        <v>7</v>
      </c>
      <c r="C20" s="25" t="s">
        <v>18</v>
      </c>
      <c r="D20" s="11" t="n">
        <f aca="false">Tabelle!H28</f>
        <v>56.1</v>
      </c>
      <c r="E20" s="11" t="n">
        <f aca="false">Tabelle!H44</f>
        <v>46226</v>
      </c>
      <c r="F20" s="11" t="n">
        <f aca="false">Tabelle!H12</f>
        <v>601.34</v>
      </c>
      <c r="G20" s="25"/>
      <c r="H20" s="27" t="n">
        <f aca="false">Tabelle!F129</f>
        <v>0.296</v>
      </c>
      <c r="I20" s="28" t="n">
        <f aca="false">F20*H20</f>
        <v>177.99664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29" t="n">
        <v>2025</v>
      </c>
      <c r="B21" s="29" t="n">
        <v>8</v>
      </c>
      <c r="C21" s="25" t="s">
        <v>18</v>
      </c>
      <c r="D21" s="11" t="n">
        <f aca="false">Tabelle!H29</f>
        <v>53.68</v>
      </c>
      <c r="E21" s="11" t="n">
        <f aca="false">Tabelle!H45</f>
        <v>51700</v>
      </c>
      <c r="F21" s="11" t="n">
        <f aca="false">Tabelle!H13</f>
        <v>238.85</v>
      </c>
      <c r="G21" s="25"/>
      <c r="H21" s="27" t="n">
        <f aca="false">Tabelle!F130</f>
        <v>0.3268</v>
      </c>
      <c r="I21" s="28" t="n">
        <f aca="false">F21*H21</f>
        <v>78.0561800000001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29" t="n">
        <v>2025</v>
      </c>
      <c r="B22" s="29" t="n">
        <v>9</v>
      </c>
      <c r="C22" s="25" t="s">
        <v>18</v>
      </c>
      <c r="D22" s="11" t="n">
        <f aca="false">Tabelle!H30</f>
        <v>220.84</v>
      </c>
      <c r="E22" s="11" t="n">
        <f aca="false">Tabelle!H46</f>
        <v>174681</v>
      </c>
      <c r="F22" s="11" t="n">
        <f aca="false">Tabelle!H14</f>
        <v>1110.88</v>
      </c>
      <c r="G22" s="25"/>
      <c r="H22" s="27" t="n">
        <f aca="false">Tabelle!F131</f>
        <v>0.2732</v>
      </c>
      <c r="I22" s="28" t="n">
        <f aca="false">F22*H22</f>
        <v>303.492416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29" t="n">
        <v>2025</v>
      </c>
      <c r="B23" s="29" t="n">
        <v>10</v>
      </c>
      <c r="C23" s="25" t="s">
        <v>18</v>
      </c>
      <c r="D23" s="11" t="n">
        <f aca="false">Tabelle!H31</f>
        <v>26.5</v>
      </c>
      <c r="E23" s="11" t="n">
        <f aca="false">Tabelle!H47</f>
        <v>27000</v>
      </c>
      <c r="F23" s="11" t="n">
        <f aca="false">Tabelle!H15</f>
        <v>959.77</v>
      </c>
      <c r="G23" s="25"/>
      <c r="H23" s="27" t="n">
        <f aca="false">Tabelle!F132</f>
        <v>0.2134</v>
      </c>
      <c r="I23" s="28" t="n">
        <f aca="false">F23*H23</f>
        <v>204.814918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29" t="n">
        <v>2025</v>
      </c>
      <c r="B24" s="29" t="n">
        <v>11</v>
      </c>
      <c r="C24" s="25" t="s">
        <v>18</v>
      </c>
      <c r="D24" s="11"/>
      <c r="E24" s="11"/>
      <c r="F24" s="25"/>
      <c r="G24" s="25"/>
      <c r="H24" s="27" t="n">
        <f aca="false">Tabelle!F133</f>
        <v>0.2261</v>
      </c>
      <c r="I24" s="2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29" t="n">
        <v>2025</v>
      </c>
      <c r="B25" s="29" t="n">
        <v>12</v>
      </c>
      <c r="C25" s="25" t="s">
        <v>18</v>
      </c>
      <c r="D25" s="11"/>
      <c r="E25" s="11"/>
      <c r="F25" s="25"/>
      <c r="G25" s="25"/>
      <c r="H25" s="27" t="n">
        <f aca="false">Tabelle!F134</f>
        <v>0</v>
      </c>
      <c r="I25" s="2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9.43"/>
    <col collapsed="false" customWidth="true" hidden="false" outlineLevel="0" max="9" min="9" style="0" width="19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19</v>
      </c>
      <c r="D2" s="6" t="n">
        <v>93.13</v>
      </c>
      <c r="E2" s="6" t="n">
        <v>56800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19</v>
      </c>
      <c r="D3" s="6" t="n">
        <v>46.78</v>
      </c>
      <c r="E3" s="6" t="n">
        <v>47188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19</v>
      </c>
      <c r="D4" s="6" t="n">
        <v>70.5</v>
      </c>
      <c r="E4" s="6" t="n">
        <v>13740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19</v>
      </c>
      <c r="D5" s="6" t="n">
        <v>12.87</v>
      </c>
      <c r="E5" s="6" t="n">
        <v>2766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19</v>
      </c>
      <c r="D6" s="6" t="n">
        <v>0.11</v>
      </c>
      <c r="E6" s="6" t="n">
        <v>24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19</v>
      </c>
      <c r="D7" s="6" t="n">
        <v>0.43</v>
      </c>
      <c r="E7" s="6" t="n">
        <v>248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19</v>
      </c>
      <c r="D8" s="6" t="n">
        <v>29.16</v>
      </c>
      <c r="E8" s="6" t="n">
        <v>25648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19</v>
      </c>
      <c r="D9" s="6" t="n">
        <v>32.63</v>
      </c>
      <c r="E9" s="6" t="n">
        <v>8515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19</v>
      </c>
      <c r="D10" s="6" t="n">
        <v>53.67</v>
      </c>
      <c r="E10" s="6" t="n">
        <v>26900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19</v>
      </c>
      <c r="D11" s="6" t="n">
        <v>35.61</v>
      </c>
      <c r="E11" s="6" t="n">
        <v>14098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19</v>
      </c>
      <c r="D12" s="11" t="n">
        <f aca="false">Tabelle!I20</f>
        <v>121.9</v>
      </c>
      <c r="E12" s="11" t="n">
        <f aca="false">Tabelle!I36</f>
        <v>31407</v>
      </c>
      <c r="F12" s="11" t="n">
        <f aca="false">Tabelle!I4</f>
        <v>835.77</v>
      </c>
      <c r="G12" s="5"/>
      <c r="H12" s="20" t="n">
        <f aca="false">Tabelle!F121</f>
        <v>0.307</v>
      </c>
      <c r="I12" s="12" t="n">
        <f aca="false">F12*H12</f>
        <v>256.58139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19</v>
      </c>
      <c r="D13" s="11" t="n">
        <f aca="false">Tabelle!I21</f>
        <v>72</v>
      </c>
      <c r="E13" s="11" t="n">
        <f aca="false">Tabelle!I37</f>
        <v>48221</v>
      </c>
      <c r="F13" s="11" t="n">
        <f aca="false">Tabelle!I5</f>
        <v>578.67</v>
      </c>
      <c r="G13" s="5"/>
      <c r="H13" s="20" t="n">
        <f aca="false">Tabelle!F122</f>
        <v>0.331</v>
      </c>
      <c r="I13" s="12" t="n">
        <f aca="false">F13*H13</f>
        <v>191.53977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19</v>
      </c>
      <c r="D14" s="11" t="n">
        <f aca="false">Tabelle!I22</f>
        <v>147.6</v>
      </c>
      <c r="E14" s="11" t="n">
        <f aca="false">Tabelle!I38</f>
        <v>67400</v>
      </c>
      <c r="F14" s="11" t="n">
        <f aca="false">Tabelle!I6</f>
        <v>910.71</v>
      </c>
      <c r="G14" s="5"/>
      <c r="H14" s="20" t="n">
        <f aca="false">Tabelle!F123</f>
        <v>0.335</v>
      </c>
      <c r="I14" s="12" t="n">
        <f aca="false">F14*H14</f>
        <v>305.08785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19</v>
      </c>
      <c r="D15" s="11" t="n">
        <f aca="false">Tabelle!I23</f>
        <v>37.1</v>
      </c>
      <c r="E15" s="11" t="n">
        <f aca="false">Tabelle!I39</f>
        <v>23510</v>
      </c>
      <c r="F15" s="11" t="n">
        <f aca="false">Tabelle!I7</f>
        <v>770.35</v>
      </c>
      <c r="G15" s="5"/>
      <c r="H15" s="20" t="n">
        <f aca="false">Tabelle!F124</f>
        <v>0.334</v>
      </c>
      <c r="I15" s="12" t="n">
        <f aca="false">F15*H15</f>
        <v>257.2969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19</v>
      </c>
      <c r="D16" s="11" t="n">
        <f aca="false">Tabelle!I24</f>
        <v>77.5</v>
      </c>
      <c r="E16" s="11" t="n">
        <f aca="false">Tabelle!I40</f>
        <v>11300</v>
      </c>
      <c r="F16" s="11" t="n">
        <f aca="false">Tabelle!I8</f>
        <v>1060.23</v>
      </c>
      <c r="G16" s="5"/>
      <c r="H16" s="20" t="n">
        <f aca="false">Tabelle!F125</f>
        <v>0.286</v>
      </c>
      <c r="I16" s="12" t="n">
        <f aca="false">F16*H16</f>
        <v>303.22578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19</v>
      </c>
      <c r="D17" s="11" t="n">
        <f aca="false">Tabelle!I25</f>
        <v>70.6</v>
      </c>
      <c r="E17" s="11" t="n">
        <f aca="false">Tabelle!I41</f>
        <v>15552</v>
      </c>
      <c r="F17" s="11" t="n">
        <f aca="false">Tabelle!I9</f>
        <v>824.31</v>
      </c>
      <c r="G17" s="5"/>
      <c r="H17" s="20" t="n">
        <f aca="false">Tabelle!F126</f>
        <v>0.2655</v>
      </c>
      <c r="I17" s="12" t="n">
        <f aca="false">F17*H17</f>
        <v>218.854305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19</v>
      </c>
      <c r="D18" s="11" t="n">
        <f aca="false">Tabelle!I26</f>
        <v>58.7</v>
      </c>
      <c r="E18" s="11" t="n">
        <f aca="false">Tabelle!I42</f>
        <v>11985</v>
      </c>
      <c r="F18" s="11" t="n">
        <f aca="false">Tabelle!I10</f>
        <v>586.480000000001</v>
      </c>
      <c r="G18" s="5"/>
      <c r="H18" s="20" t="n">
        <f aca="false">Tabelle!F127</f>
        <v>0.2575</v>
      </c>
      <c r="I18" s="12" t="n">
        <f aca="false">F18*H18</f>
        <v>151.0186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19</v>
      </c>
      <c r="D19" s="11" t="n">
        <f aca="false">Tabelle!I27</f>
        <v>83.5</v>
      </c>
      <c r="E19" s="11" t="n">
        <f aca="false">Tabelle!I43</f>
        <v>14828</v>
      </c>
      <c r="F19" s="11" t="n">
        <f aca="false">Tabelle!I11</f>
        <v>840.06</v>
      </c>
      <c r="G19" s="5"/>
      <c r="H19" s="20" t="n">
        <f aca="false">Tabelle!F128</f>
        <v>0.355</v>
      </c>
      <c r="I19" s="12" t="n">
        <f aca="false">F19*H19</f>
        <v>298.2213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19</v>
      </c>
      <c r="D20" s="11" t="n">
        <f aca="false">Tabelle!I28</f>
        <v>131.1</v>
      </c>
      <c r="E20" s="11" t="n">
        <f aca="false">Tabelle!I44</f>
        <v>115922</v>
      </c>
      <c r="F20" s="11" t="n">
        <f aca="false">Tabelle!I12</f>
        <v>1044.72</v>
      </c>
      <c r="G20" s="5"/>
      <c r="H20" s="20" t="n">
        <f aca="false">Tabelle!F129</f>
        <v>0.296</v>
      </c>
      <c r="I20" s="12" t="n">
        <f aca="false">F20*H20</f>
        <v>309.23712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19</v>
      </c>
      <c r="D21" s="11" t="n">
        <f aca="false">Tabelle!I29</f>
        <v>0</v>
      </c>
      <c r="E21" s="11" t="n">
        <f aca="false">Tabelle!I45</f>
        <v>0</v>
      </c>
      <c r="F21" s="11" t="n">
        <f aca="false">Tabelle!I13</f>
        <v>7.17999999999938</v>
      </c>
      <c r="G21" s="5"/>
      <c r="H21" s="20" t="n">
        <f aca="false">Tabelle!F130</f>
        <v>0.3268</v>
      </c>
      <c r="I21" s="12" t="n">
        <f aca="false">F21*H21</f>
        <v>2.3464239999998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19</v>
      </c>
      <c r="D22" s="11" t="n">
        <f aca="false">Tabelle!I30</f>
        <v>0</v>
      </c>
      <c r="E22" s="11" t="n">
        <f aca="false">Tabelle!I46</f>
        <v>0</v>
      </c>
      <c r="F22" s="11" t="n">
        <f aca="false">Tabelle!I14</f>
        <v>0</v>
      </c>
      <c r="G22" s="5"/>
      <c r="H22" s="20" t="n">
        <f aca="false">Tabelle!F131</f>
        <v>0.2732</v>
      </c>
      <c r="I22" s="12" t="n">
        <f aca="false">F22*H22</f>
        <v>0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19</v>
      </c>
      <c r="D23" s="11" t="n">
        <f aca="false">Tabelle!I31</f>
        <v>0</v>
      </c>
      <c r="E23" s="11" t="n">
        <f aca="false">Tabelle!I47</f>
        <v>0</v>
      </c>
      <c r="F23" s="11" t="n">
        <f aca="false">Tabelle!I15</f>
        <v>0</v>
      </c>
      <c r="G23" s="5"/>
      <c r="H23" s="20" t="n">
        <f aca="false">Tabelle!F132</f>
        <v>0.2134</v>
      </c>
      <c r="I23" s="12" t="n">
        <f aca="false">F23*H23</f>
        <v>0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19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19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6.72"/>
    <col collapsed="false" customWidth="true" hidden="false" outlineLevel="0" max="9" min="9" style="0" width="17.86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20</v>
      </c>
      <c r="D2" s="6" t="n">
        <v>129.43</v>
      </c>
      <c r="E2" s="6" t="n">
        <v>45447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20</v>
      </c>
      <c r="D3" s="6" t="n">
        <v>108.66</v>
      </c>
      <c r="E3" s="6" t="n">
        <v>27652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20</v>
      </c>
      <c r="D4" s="6" t="n">
        <v>111.16</v>
      </c>
      <c r="E4" s="6" t="n">
        <v>36608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20</v>
      </c>
      <c r="D5" s="6" t="n">
        <v>43.4</v>
      </c>
      <c r="E5" s="6" t="n">
        <v>15452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20</v>
      </c>
      <c r="D6" s="6" t="n">
        <v>65.24</v>
      </c>
      <c r="E6" s="6" t="n">
        <v>17425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20</v>
      </c>
      <c r="D7" s="6" t="n">
        <v>0</v>
      </c>
      <c r="E7" s="6" t="n">
        <v>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20</v>
      </c>
      <c r="D8" s="6" t="n">
        <v>53.62</v>
      </c>
      <c r="E8" s="6" t="n">
        <v>5264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20</v>
      </c>
      <c r="D9" s="6" t="n">
        <v>14.37</v>
      </c>
      <c r="E9" s="6" t="n">
        <v>2128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20</v>
      </c>
      <c r="D10" s="6" t="n">
        <v>24.86</v>
      </c>
      <c r="E10" s="6" t="n">
        <v>15040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20</v>
      </c>
      <c r="D11" s="6" t="n">
        <v>22.06</v>
      </c>
      <c r="E11" s="6" t="n">
        <v>9360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20</v>
      </c>
      <c r="D12" s="11" t="n">
        <f aca="false">Tabelle!J20</f>
        <v>50.7</v>
      </c>
      <c r="E12" s="11" t="n">
        <f aca="false">Tabelle!J36</f>
        <v>23463</v>
      </c>
      <c r="F12" s="11" t="n">
        <f aca="false">Tabelle!J4</f>
        <v>449.71</v>
      </c>
      <c r="G12" s="5"/>
      <c r="H12" s="20" t="n">
        <f aca="false">Tabelle!F121</f>
        <v>0.307</v>
      </c>
      <c r="I12" s="12" t="n">
        <f aca="false">F12*H12</f>
        <v>138.06097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20</v>
      </c>
      <c r="D13" s="11" t="n">
        <f aca="false">Tabelle!J21</f>
        <v>12.4</v>
      </c>
      <c r="E13" s="11" t="n">
        <f aca="false">Tabelle!J37</f>
        <v>3993</v>
      </c>
      <c r="F13" s="11" t="n">
        <f aca="false">Tabelle!J5</f>
        <v>164.26</v>
      </c>
      <c r="G13" s="5"/>
      <c r="H13" s="20" t="n">
        <f aca="false">Tabelle!F122</f>
        <v>0.331</v>
      </c>
      <c r="I13" s="12" t="n">
        <f aca="false">F13*H13</f>
        <v>54.37006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20</v>
      </c>
      <c r="D14" s="11" t="n">
        <f aca="false">Tabelle!J22</f>
        <v>2.3</v>
      </c>
      <c r="E14" s="11" t="n">
        <f aca="false">Tabelle!J38</f>
        <v>9</v>
      </c>
      <c r="F14" s="11" t="n">
        <f aca="false">Tabelle!J6</f>
        <v>135.3</v>
      </c>
      <c r="G14" s="5"/>
      <c r="H14" s="20" t="n">
        <f aca="false">Tabelle!F123</f>
        <v>0.335</v>
      </c>
      <c r="I14" s="12" t="n">
        <f aca="false">F14*H14</f>
        <v>45.3255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20</v>
      </c>
      <c r="D15" s="11" t="n">
        <f aca="false">Tabelle!J23</f>
        <v>64.1</v>
      </c>
      <c r="E15" s="11" t="n">
        <f aca="false">Tabelle!J39</f>
        <v>36009</v>
      </c>
      <c r="F15" s="11" t="n">
        <f aca="false">Tabelle!J7</f>
        <v>341.64</v>
      </c>
      <c r="G15" s="5"/>
      <c r="H15" s="20" t="n">
        <f aca="false">Tabelle!F124</f>
        <v>0.334</v>
      </c>
      <c r="I15" s="12" t="n">
        <f aca="false">F15*H15</f>
        <v>114.10776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20</v>
      </c>
      <c r="D16" s="11" t="n">
        <f aca="false">Tabelle!J24</f>
        <v>99.4</v>
      </c>
      <c r="E16" s="11" t="n">
        <f aca="false">Tabelle!J40</f>
        <v>22178</v>
      </c>
      <c r="F16" s="11" t="n">
        <f aca="false">Tabelle!J8</f>
        <v>401.27</v>
      </c>
      <c r="G16" s="5"/>
      <c r="H16" s="20" t="n">
        <f aca="false">Tabelle!F125</f>
        <v>0.286</v>
      </c>
      <c r="I16" s="12" t="n">
        <f aca="false">F16*H16</f>
        <v>114.76322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20</v>
      </c>
      <c r="D17" s="11" t="n">
        <f aca="false">Tabelle!J25</f>
        <v>66</v>
      </c>
      <c r="E17" s="11" t="n">
        <f aca="false">Tabelle!J41</f>
        <v>16806</v>
      </c>
      <c r="F17" s="11" t="n">
        <f aca="false">Tabelle!J9</f>
        <v>375.39</v>
      </c>
      <c r="G17" s="5"/>
      <c r="H17" s="20" t="n">
        <f aca="false">Tabelle!F126</f>
        <v>0.2655</v>
      </c>
      <c r="I17" s="12" t="n">
        <f aca="false">F17*H17</f>
        <v>99.666045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20</v>
      </c>
      <c r="D18" s="11" t="n">
        <f aca="false">Tabelle!J26</f>
        <v>0</v>
      </c>
      <c r="E18" s="11" t="n">
        <f aca="false">Tabelle!J42</f>
        <v>0</v>
      </c>
      <c r="F18" s="11" t="n">
        <f aca="false">Tabelle!J10</f>
        <v>23.5999999999999</v>
      </c>
      <c r="G18" s="5"/>
      <c r="H18" s="20" t="n">
        <f aca="false">Tabelle!F127</f>
        <v>0.2575</v>
      </c>
      <c r="I18" s="12" t="n">
        <f aca="false">F18*H18</f>
        <v>6.07699999999998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20</v>
      </c>
      <c r="D19" s="11" t="n">
        <f aca="false">Tabelle!J27</f>
        <v>19.5</v>
      </c>
      <c r="E19" s="11" t="n">
        <f aca="false">Tabelle!J43</f>
        <v>13125</v>
      </c>
      <c r="F19" s="11" t="n">
        <f aca="false">Tabelle!J11</f>
        <v>159.25</v>
      </c>
      <c r="G19" s="5"/>
      <c r="H19" s="20" t="n">
        <f aca="false">Tabelle!F128</f>
        <v>0.355</v>
      </c>
      <c r="I19" s="12" t="n">
        <f aca="false">F19*H19</f>
        <v>56.53375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20</v>
      </c>
      <c r="D20" s="11" t="n">
        <f aca="false">Tabelle!J28</f>
        <v>57.8</v>
      </c>
      <c r="E20" s="11" t="n">
        <f aca="false">Tabelle!J44</f>
        <v>18000</v>
      </c>
      <c r="F20" s="11" t="n">
        <f aca="false">Tabelle!J12</f>
        <v>262.42</v>
      </c>
      <c r="G20" s="5"/>
      <c r="H20" s="20" t="n">
        <f aca="false">Tabelle!F129</f>
        <v>0.296</v>
      </c>
      <c r="I20" s="12" t="n">
        <f aca="false">F20*H20</f>
        <v>77.67632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20</v>
      </c>
      <c r="D21" s="11" t="n">
        <f aca="false">Tabelle!J29</f>
        <v>8.56</v>
      </c>
      <c r="E21" s="11" t="n">
        <f aca="false">Tabelle!J45</f>
        <v>5000</v>
      </c>
      <c r="F21" s="11" t="n">
        <f aca="false">Tabelle!J13</f>
        <v>76.1900000000001</v>
      </c>
      <c r="G21" s="5"/>
      <c r="H21" s="20" t="n">
        <f aca="false">Tabelle!F130</f>
        <v>0.3268</v>
      </c>
      <c r="I21" s="12" t="n">
        <f aca="false">F21*H21</f>
        <v>24.898892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20</v>
      </c>
      <c r="D22" s="11" t="n">
        <f aca="false">Tabelle!J30</f>
        <v>25.67</v>
      </c>
      <c r="E22" s="11" t="n">
        <f aca="false">Tabelle!J46</f>
        <v>18360</v>
      </c>
      <c r="F22" s="11" t="n">
        <f aca="false">Tabelle!J14</f>
        <v>293.54</v>
      </c>
      <c r="G22" s="5"/>
      <c r="H22" s="20" t="n">
        <f aca="false">Tabelle!F131</f>
        <v>0.2732</v>
      </c>
      <c r="I22" s="12" t="n">
        <f aca="false">F22*H22</f>
        <v>80.195128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20</v>
      </c>
      <c r="D23" s="11" t="n">
        <f aca="false">Tabelle!J31</f>
        <v>0</v>
      </c>
      <c r="E23" s="11" t="n">
        <f aca="false">Tabelle!J47</f>
        <v>0</v>
      </c>
      <c r="F23" s="11" t="n">
        <f aca="false">Tabelle!J15</f>
        <v>39.77</v>
      </c>
      <c r="G23" s="5"/>
      <c r="H23" s="20" t="n">
        <f aca="false">Tabelle!F132</f>
        <v>0.2134</v>
      </c>
      <c r="I23" s="12" t="n">
        <f aca="false">F23*H23</f>
        <v>8.486918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20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20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21</v>
      </c>
      <c r="D2" s="6" t="n">
        <v>101.86</v>
      </c>
      <c r="E2" s="6" t="n">
        <v>38280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21</v>
      </c>
      <c r="D3" s="6" t="n">
        <v>209.38</v>
      </c>
      <c r="E3" s="6" t="n">
        <v>52900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21</v>
      </c>
      <c r="D4" s="6" t="n">
        <v>38.6</v>
      </c>
      <c r="E4" s="6" t="n">
        <v>47680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21</v>
      </c>
      <c r="D5" s="6" t="n">
        <v>253.99</v>
      </c>
      <c r="E5" s="6" t="n">
        <v>21709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21</v>
      </c>
      <c r="D6" s="6" t="n">
        <v>160.65</v>
      </c>
      <c r="E6" s="6" t="n">
        <v>29355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21</v>
      </c>
      <c r="D7" s="6" t="n">
        <v>36.54</v>
      </c>
      <c r="E7" s="6" t="n">
        <v>20502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21</v>
      </c>
      <c r="D8" s="6" t="n">
        <v>0</v>
      </c>
      <c r="E8" s="6" t="n">
        <v>0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21</v>
      </c>
      <c r="D9" s="6" t="n">
        <v>23.03</v>
      </c>
      <c r="E9" s="6" t="n">
        <v>10980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21</v>
      </c>
      <c r="D10" s="6" t="n">
        <v>51.57</v>
      </c>
      <c r="E10" s="6" t="n">
        <v>26298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21</v>
      </c>
      <c r="D11" s="6" t="n">
        <v>21.41</v>
      </c>
      <c r="E11" s="9" t="n">
        <v>4628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21</v>
      </c>
      <c r="D12" s="11" t="n">
        <f aca="false">Tabelle!K20</f>
        <v>55.1</v>
      </c>
      <c r="E12" s="6" t="n">
        <f aca="false">Tabelle!K36</f>
        <v>31023</v>
      </c>
      <c r="F12" s="11" t="n">
        <f aca="false">Tabelle!K4</f>
        <v>889.11</v>
      </c>
      <c r="G12" s="5"/>
      <c r="H12" s="20" t="n">
        <f aca="false">Tabelle!F121</f>
        <v>0.307</v>
      </c>
      <c r="I12" s="12" t="n">
        <f aca="false">F12*H12</f>
        <v>272.95677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21</v>
      </c>
      <c r="D13" s="11" t="n">
        <f aca="false">Tabelle!K21</f>
        <v>2.1</v>
      </c>
      <c r="E13" s="6" t="n">
        <f aca="false">Tabelle!K37</f>
        <v>2616</v>
      </c>
      <c r="F13" s="11" t="n">
        <f aca="false">Tabelle!K5</f>
        <v>289.65</v>
      </c>
      <c r="G13" s="5"/>
      <c r="H13" s="20" t="n">
        <f aca="false">Tabelle!F122</f>
        <v>0.331</v>
      </c>
      <c r="I13" s="12" t="n">
        <f aca="false">F13*H13</f>
        <v>95.87415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21</v>
      </c>
      <c r="D14" s="11" t="n">
        <f aca="false">Tabelle!K22</f>
        <v>31.5</v>
      </c>
      <c r="E14" s="6" t="n">
        <f aca="false">Tabelle!K38</f>
        <v>8619</v>
      </c>
      <c r="F14" s="11" t="n">
        <f aca="false">Tabelle!K6</f>
        <v>580.88</v>
      </c>
      <c r="G14" s="5"/>
      <c r="H14" s="20" t="n">
        <f aca="false">Tabelle!F123</f>
        <v>0.335</v>
      </c>
      <c r="I14" s="12" t="n">
        <f aca="false">F14*H14</f>
        <v>194.5948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21</v>
      </c>
      <c r="D15" s="11" t="n">
        <f aca="false">Tabelle!K23</f>
        <v>92.6</v>
      </c>
      <c r="E15" s="6" t="n">
        <f aca="false">Tabelle!K39</f>
        <v>29278</v>
      </c>
      <c r="F15" s="11" t="n">
        <f aca="false">Tabelle!K7</f>
        <v>920.21</v>
      </c>
      <c r="G15" s="5"/>
      <c r="H15" s="20" t="n">
        <f aca="false">Tabelle!F124</f>
        <v>0.334</v>
      </c>
      <c r="I15" s="12" t="n">
        <f aca="false">F15*H15</f>
        <v>307.35014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21</v>
      </c>
      <c r="D16" s="11" t="n">
        <f aca="false">Tabelle!K24</f>
        <v>79.9</v>
      </c>
      <c r="E16" s="6" t="n">
        <f aca="false">Tabelle!K40</f>
        <v>33501</v>
      </c>
      <c r="F16" s="11" t="n">
        <f aca="false">Tabelle!K8</f>
        <v>1017.88</v>
      </c>
      <c r="G16" s="5"/>
      <c r="H16" s="20" t="n">
        <f aca="false">Tabelle!F125</f>
        <v>0.286</v>
      </c>
      <c r="I16" s="12" t="n">
        <f aca="false">F16*H16</f>
        <v>291.11368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21</v>
      </c>
      <c r="D17" s="11" t="n">
        <f aca="false">Tabelle!K25</f>
        <v>164.8</v>
      </c>
      <c r="E17" s="6" t="n">
        <f aca="false">Tabelle!K41</f>
        <v>70944</v>
      </c>
      <c r="F17" s="11" t="n">
        <f aca="false">Tabelle!K9</f>
        <v>1182.44</v>
      </c>
      <c r="G17" s="5"/>
      <c r="H17" s="20" t="n">
        <f aca="false">Tabelle!F126</f>
        <v>0.2655</v>
      </c>
      <c r="I17" s="12" t="n">
        <f aca="false">F17*H17</f>
        <v>313.93782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21</v>
      </c>
      <c r="D18" s="11" t="n">
        <f aca="false">Tabelle!K26</f>
        <v>52.2</v>
      </c>
      <c r="E18" s="6" t="n">
        <f aca="false">Tabelle!K42</f>
        <v>29403</v>
      </c>
      <c r="F18" s="11" t="n">
        <f aca="false">Tabelle!K10</f>
        <v>610.53</v>
      </c>
      <c r="G18" s="5"/>
      <c r="H18" s="20" t="n">
        <f aca="false">Tabelle!F127</f>
        <v>0.2575</v>
      </c>
      <c r="I18" s="12" t="n">
        <f aca="false">F18*H18</f>
        <v>157.211475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21</v>
      </c>
      <c r="D19" s="11" t="n">
        <f aca="false">Tabelle!K27</f>
        <v>6.5</v>
      </c>
      <c r="E19" s="6" t="n">
        <f aca="false">Tabelle!K43</f>
        <v>4800</v>
      </c>
      <c r="F19" s="11" t="n">
        <f aca="false">Tabelle!K11</f>
        <v>132.480000000001</v>
      </c>
      <c r="G19" s="5"/>
      <c r="H19" s="20" t="n">
        <f aca="false">Tabelle!F128</f>
        <v>0.355</v>
      </c>
      <c r="I19" s="12" t="n">
        <f aca="false">F19*H19</f>
        <v>47.0304000000002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21</v>
      </c>
      <c r="D20" s="11" t="n">
        <f aca="false">Tabelle!K28</f>
        <v>150.1</v>
      </c>
      <c r="E20" s="6" t="n">
        <f aca="false">Tabelle!K44</f>
        <v>33092</v>
      </c>
      <c r="F20" s="11" t="n">
        <f aca="false">Tabelle!K12</f>
        <v>905.03</v>
      </c>
      <c r="G20" s="5"/>
      <c r="H20" s="20" t="n">
        <f aca="false">Tabelle!F129</f>
        <v>0.296</v>
      </c>
      <c r="I20" s="12" t="n">
        <f aca="false">F20*H20</f>
        <v>267.88888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21</v>
      </c>
      <c r="D21" s="11" t="n">
        <f aca="false">Tabelle!K29</f>
        <v>0</v>
      </c>
      <c r="E21" s="6" t="n">
        <f aca="false">Tabelle!K45</f>
        <v>0</v>
      </c>
      <c r="F21" s="11" t="n">
        <f aca="false">Tabelle!K13</f>
        <v>8.82000000000062</v>
      </c>
      <c r="G21" s="5"/>
      <c r="H21" s="20" t="n">
        <f aca="false">Tabelle!F130</f>
        <v>0.3268</v>
      </c>
      <c r="I21" s="5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21</v>
      </c>
      <c r="D22" s="11" t="n">
        <f aca="false">Tabelle!K30</f>
        <v>110.88</v>
      </c>
      <c r="E22" s="6" t="n">
        <f aca="false">Tabelle!K46</f>
        <v>11782</v>
      </c>
      <c r="F22" s="11" t="n">
        <f aca="false">Tabelle!K14</f>
        <v>553.54</v>
      </c>
      <c r="G22" s="5"/>
      <c r="H22" s="20" t="n">
        <f aca="false">Tabelle!F131</f>
        <v>0.2732</v>
      </c>
      <c r="I22" s="5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21</v>
      </c>
      <c r="D23" s="11" t="n">
        <f aca="false">Tabelle!K31</f>
        <v>0</v>
      </c>
      <c r="E23" s="6" t="n">
        <f aca="false">Tabelle!K47</f>
        <v>0</v>
      </c>
      <c r="F23" s="11" t="n">
        <f aca="false">Tabelle!K15</f>
        <v>722.6</v>
      </c>
      <c r="G23" s="5"/>
      <c r="H23" s="20" t="n">
        <f aca="false">Tabelle!F132</f>
        <v>0.2134</v>
      </c>
      <c r="I23" s="5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21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21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22</v>
      </c>
      <c r="D2" s="6" t="n">
        <v>324.79</v>
      </c>
      <c r="E2" s="6" t="n">
        <v>140670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22</v>
      </c>
      <c r="D3" s="6" t="n">
        <v>80.13</v>
      </c>
      <c r="E3" s="6" t="n">
        <v>39140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22</v>
      </c>
      <c r="D4" s="6" t="n">
        <v>16.14</v>
      </c>
      <c r="E4" s="6" t="n">
        <v>8600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22</v>
      </c>
      <c r="D5" s="6" t="n">
        <v>18.04</v>
      </c>
      <c r="E5" s="6" t="n">
        <v>10000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22</v>
      </c>
      <c r="D6" s="6" t="n">
        <v>113.6</v>
      </c>
      <c r="E6" s="6" t="n">
        <v>68201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22</v>
      </c>
      <c r="D7" s="6" t="n">
        <v>89.83</v>
      </c>
      <c r="E7" s="6" t="n">
        <v>45462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22</v>
      </c>
      <c r="D8" s="6" t="n">
        <v>320.98</v>
      </c>
      <c r="E8" s="6" t="n">
        <v>135608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22</v>
      </c>
      <c r="D9" s="6" t="n">
        <v>138.87</v>
      </c>
      <c r="E9" s="6" t="n">
        <v>49569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22</v>
      </c>
      <c r="D10" s="6" t="n">
        <v>161.96</v>
      </c>
      <c r="E10" s="6" t="n">
        <v>58891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22</v>
      </c>
      <c r="D11" s="6" t="n">
        <v>324.95</v>
      </c>
      <c r="E11" s="9" t="n">
        <v>97270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22</v>
      </c>
      <c r="D12" s="11" t="n">
        <f aca="false">Tabelle!L20</f>
        <v>300.7</v>
      </c>
      <c r="E12" s="6" t="n">
        <f aca="false">Tabelle!L36</f>
        <v>119234</v>
      </c>
      <c r="F12" s="11" t="n">
        <f aca="false">Tabelle!L4</f>
        <v>686.86</v>
      </c>
      <c r="G12" s="5"/>
      <c r="H12" s="20" t="n">
        <f aca="false">Tabelle!F121</f>
        <v>0.307</v>
      </c>
      <c r="I12" s="12" t="n">
        <f aca="false">F12*H12</f>
        <v>210.86602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22</v>
      </c>
      <c r="D13" s="11" t="n">
        <f aca="false">Tabelle!L21</f>
        <v>120.3</v>
      </c>
      <c r="E13" s="6" t="n">
        <f aca="false">Tabelle!L37</f>
        <v>36466</v>
      </c>
      <c r="F13" s="11" t="n">
        <f aca="false">Tabelle!L5</f>
        <v>380.23</v>
      </c>
      <c r="G13" s="5"/>
      <c r="H13" s="20" t="n">
        <f aca="false">Tabelle!F122</f>
        <v>0.331</v>
      </c>
      <c r="I13" s="12" t="n">
        <f aca="false">F13*H13</f>
        <v>125.85613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22</v>
      </c>
      <c r="D14" s="11" t="n">
        <f aca="false">Tabelle!L22</f>
        <v>209.8</v>
      </c>
      <c r="E14" s="6" t="n">
        <f aca="false">Tabelle!L38</f>
        <v>62417</v>
      </c>
      <c r="F14" s="11" t="n">
        <f aca="false">Tabelle!L6</f>
        <v>485.73</v>
      </c>
      <c r="G14" s="5"/>
      <c r="H14" s="20" t="n">
        <f aca="false">Tabelle!F123</f>
        <v>0.335</v>
      </c>
      <c r="I14" s="12" t="n">
        <f aca="false">F14*H14</f>
        <v>162.71955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22</v>
      </c>
      <c r="D15" s="11" t="n">
        <f aca="false">Tabelle!L23</f>
        <v>277</v>
      </c>
      <c r="E15" s="6" t="n">
        <f aca="false">Tabelle!L39</f>
        <v>96598</v>
      </c>
      <c r="F15" s="11" t="n">
        <f aca="false">Tabelle!L7</f>
        <v>627.37</v>
      </c>
      <c r="G15" s="5"/>
      <c r="H15" s="20" t="n">
        <f aca="false">Tabelle!F124</f>
        <v>0.334</v>
      </c>
      <c r="I15" s="12" t="n">
        <f aca="false">F15*H15</f>
        <v>209.54158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22</v>
      </c>
      <c r="D16" s="11" t="n">
        <f aca="false">Tabelle!L24</f>
        <v>259.4</v>
      </c>
      <c r="E16" s="6" t="n">
        <f aca="false">Tabelle!L40</f>
        <v>83238</v>
      </c>
      <c r="F16" s="11" t="n">
        <f aca="false">Tabelle!L8</f>
        <v>650.34</v>
      </c>
      <c r="G16" s="5"/>
      <c r="H16" s="20" t="n">
        <f aca="false">Tabelle!F125</f>
        <v>0.286</v>
      </c>
      <c r="I16" s="12" t="n">
        <f aca="false">F16*H16</f>
        <v>185.99724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22</v>
      </c>
      <c r="D17" s="11" t="n">
        <f aca="false">Tabelle!L25</f>
        <v>243.6</v>
      </c>
      <c r="E17" s="6" t="n">
        <f aca="false">Tabelle!L41</f>
        <v>86947</v>
      </c>
      <c r="F17" s="11" t="n">
        <f aca="false">Tabelle!L9</f>
        <v>598.43</v>
      </c>
      <c r="G17" s="5"/>
      <c r="H17" s="20" t="n">
        <f aca="false">Tabelle!F126</f>
        <v>0.2655</v>
      </c>
      <c r="I17" s="12" t="n">
        <f aca="false">F17*H17</f>
        <v>158.883165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22</v>
      </c>
      <c r="D18" s="11" t="n">
        <f aca="false">Tabelle!L26</f>
        <v>244.8</v>
      </c>
      <c r="E18" s="6" t="n">
        <f aca="false">Tabelle!L42</f>
        <v>72060</v>
      </c>
      <c r="F18" s="11" t="n">
        <f aca="false">Tabelle!L10</f>
        <v>484.79</v>
      </c>
      <c r="G18" s="5"/>
      <c r="H18" s="20" t="n">
        <f aca="false">Tabelle!F127</f>
        <v>0.2575</v>
      </c>
      <c r="I18" s="12" t="n">
        <f aca="false">F18*H18</f>
        <v>124.833425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22</v>
      </c>
      <c r="D19" s="11" t="n">
        <f aca="false">Tabelle!L27</f>
        <v>239.3</v>
      </c>
      <c r="E19" s="6" t="n">
        <f aca="false">Tabelle!L43</f>
        <v>83892</v>
      </c>
      <c r="F19" s="11" t="n">
        <f aca="false">Tabelle!L11</f>
        <v>550.08</v>
      </c>
      <c r="G19" s="5"/>
      <c r="H19" s="20" t="n">
        <f aca="false">Tabelle!F128</f>
        <v>0.355</v>
      </c>
      <c r="I19" s="12" t="n">
        <f aca="false">F19*H19</f>
        <v>195.2784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22</v>
      </c>
      <c r="D20" s="11" t="n">
        <f aca="false">Tabelle!L28</f>
        <v>335.9</v>
      </c>
      <c r="E20" s="6" t="n">
        <f aca="false">Tabelle!L44</f>
        <v>114871</v>
      </c>
      <c r="F20" s="11" t="n">
        <f aca="false">Tabelle!L12</f>
        <v>770.29</v>
      </c>
      <c r="G20" s="5"/>
      <c r="H20" s="20" t="n">
        <f aca="false">Tabelle!F129</f>
        <v>0.296</v>
      </c>
      <c r="I20" s="12" t="n">
        <f aca="false">F20*H20</f>
        <v>228.00584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22</v>
      </c>
      <c r="D21" s="11" t="n">
        <f aca="false">Tabelle!L29</f>
        <v>43.05</v>
      </c>
      <c r="E21" s="6" t="n">
        <f aca="false">Tabelle!L45</f>
        <v>15723</v>
      </c>
      <c r="F21" s="11" t="n">
        <f aca="false">Tabelle!L13</f>
        <v>110.570000000001</v>
      </c>
      <c r="G21" s="5"/>
      <c r="H21" s="20" t="n">
        <f aca="false">Tabelle!F130</f>
        <v>0.3268</v>
      </c>
      <c r="I21" s="5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22</v>
      </c>
      <c r="D22" s="11" t="n">
        <f aca="false">Tabelle!L30</f>
        <v>0</v>
      </c>
      <c r="E22" s="6" t="n">
        <f aca="false">Tabelle!L46</f>
        <v>0</v>
      </c>
      <c r="F22" s="11" t="n">
        <f aca="false">Tabelle!L14</f>
        <v>0</v>
      </c>
      <c r="G22" s="5"/>
      <c r="H22" s="20" t="n">
        <f aca="false">Tabelle!F131</f>
        <v>0.2732</v>
      </c>
      <c r="I22" s="5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22</v>
      </c>
      <c r="D23" s="11" t="n">
        <f aca="false">Tabelle!L31</f>
        <v>0</v>
      </c>
      <c r="E23" s="6" t="n">
        <f aca="false">Tabelle!L47</f>
        <v>0</v>
      </c>
      <c r="F23" s="11" t="n">
        <f aca="false">Tabelle!L15</f>
        <v>0</v>
      </c>
      <c r="G23" s="5"/>
      <c r="H23" s="20" t="n">
        <f aca="false">Tabelle!F132</f>
        <v>0.2134</v>
      </c>
      <c r="I23" s="5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22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22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23</v>
      </c>
      <c r="D2" s="6" t="n">
        <v>19.89</v>
      </c>
      <c r="E2" s="6" t="n">
        <v>15714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23</v>
      </c>
      <c r="D3" s="6" t="n">
        <v>14.88</v>
      </c>
      <c r="E3" s="6" t="n">
        <v>12219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23</v>
      </c>
      <c r="D4" s="6" t="n">
        <v>26.77</v>
      </c>
      <c r="E4" s="6" t="n">
        <v>26114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23</v>
      </c>
      <c r="D5" s="6" t="n">
        <v>4.82</v>
      </c>
      <c r="E5" s="6" t="n">
        <v>3228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23</v>
      </c>
      <c r="D6" s="6" t="n">
        <v>0</v>
      </c>
      <c r="E6" s="6" t="n">
        <v>0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23</v>
      </c>
      <c r="D7" s="6" t="n">
        <v>8.49</v>
      </c>
      <c r="E7" s="6" t="n">
        <v>4882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23</v>
      </c>
      <c r="D8" s="6" t="n">
        <v>60.69</v>
      </c>
      <c r="E8" s="6" t="n">
        <v>39984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23</v>
      </c>
      <c r="D9" s="6" t="n">
        <v>43.39</v>
      </c>
      <c r="E9" s="6" t="n">
        <v>40507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23</v>
      </c>
      <c r="D10" s="6" t="n">
        <v>8.4</v>
      </c>
      <c r="E10" s="6" t="n">
        <v>8670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23</v>
      </c>
      <c r="D11" s="6" t="n">
        <v>37.13</v>
      </c>
      <c r="E11" s="9" t="n">
        <v>38444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23</v>
      </c>
      <c r="D12" s="11" t="n">
        <f aca="false">Tabelle!M20</f>
        <v>100.3</v>
      </c>
      <c r="E12" s="6" t="n">
        <f aca="false">Tabelle!M36</f>
        <v>80847</v>
      </c>
      <c r="F12" s="11" t="n">
        <f aca="false">Tabelle!M4</f>
        <v>199.43</v>
      </c>
      <c r="G12" s="5"/>
      <c r="H12" s="20" t="n">
        <f aca="false">Tabelle!F121</f>
        <v>0.307</v>
      </c>
      <c r="I12" s="12" t="n">
        <f aca="false">F12*H12</f>
        <v>61.22501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23</v>
      </c>
      <c r="D13" s="11" t="n">
        <f aca="false">Tabelle!M21</f>
        <v>29.1</v>
      </c>
      <c r="E13" s="6" t="n">
        <f aca="false">Tabelle!M37</f>
        <v>26098</v>
      </c>
      <c r="F13" s="11" t="n">
        <f aca="false">Tabelle!M5</f>
        <v>64.6</v>
      </c>
      <c r="G13" s="5"/>
      <c r="H13" s="20" t="n">
        <f aca="false">Tabelle!F122</f>
        <v>0.331</v>
      </c>
      <c r="I13" s="12" t="n">
        <f aca="false">F13*H13</f>
        <v>21.3826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23</v>
      </c>
      <c r="D14" s="11" t="n">
        <f aca="false">Tabelle!M22</f>
        <v>33.6</v>
      </c>
      <c r="E14" s="6" t="n">
        <f aca="false">Tabelle!M38</f>
        <v>36485</v>
      </c>
      <c r="F14" s="11" t="n">
        <f aca="false">Tabelle!M6</f>
        <v>85.99</v>
      </c>
      <c r="G14" s="5"/>
      <c r="H14" s="20" t="n">
        <f aca="false">Tabelle!F123</f>
        <v>0.335</v>
      </c>
      <c r="I14" s="12" t="n">
        <f aca="false">F14*H14</f>
        <v>28.80665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23</v>
      </c>
      <c r="D15" s="11" t="n">
        <f aca="false">Tabelle!M23</f>
        <v>20.4</v>
      </c>
      <c r="E15" s="6" t="n">
        <f aca="false">Tabelle!M39</f>
        <v>15760</v>
      </c>
      <c r="F15" s="11" t="n">
        <f aca="false">Tabelle!M7</f>
        <v>42.1</v>
      </c>
      <c r="G15" s="5"/>
      <c r="H15" s="20" t="n">
        <f aca="false">Tabelle!F124</f>
        <v>0.334</v>
      </c>
      <c r="I15" s="12" t="n">
        <f aca="false">F15*H15</f>
        <v>14.0614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23</v>
      </c>
      <c r="D16" s="11" t="n">
        <f aca="false">Tabelle!M24</f>
        <v>110.7</v>
      </c>
      <c r="E16" s="6" t="n">
        <f aca="false">Tabelle!M40</f>
        <v>86910</v>
      </c>
      <c r="F16" s="11" t="n">
        <f aca="false">Tabelle!M8</f>
        <v>112.05</v>
      </c>
      <c r="G16" s="5"/>
      <c r="H16" s="20" t="n">
        <f aca="false">Tabelle!F125</f>
        <v>0.286</v>
      </c>
      <c r="I16" s="12" t="n">
        <f aca="false">F16*H16</f>
        <v>32.0463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23</v>
      </c>
      <c r="D17" s="11" t="n">
        <f aca="false">Tabelle!M25</f>
        <v>105.6</v>
      </c>
      <c r="E17" s="6" t="n">
        <f aca="false">Tabelle!M41</f>
        <v>129675</v>
      </c>
      <c r="F17" s="11" t="n">
        <f aca="false">Tabelle!M9</f>
        <v>123.66</v>
      </c>
      <c r="G17" s="5"/>
      <c r="H17" s="20" t="n">
        <f aca="false">Tabelle!F126</f>
        <v>0.2655</v>
      </c>
      <c r="I17" s="12" t="n">
        <f aca="false">F17*H17</f>
        <v>32.83173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23</v>
      </c>
      <c r="D18" s="11" t="n">
        <f aca="false">Tabelle!M26</f>
        <v>31</v>
      </c>
      <c r="E18" s="6" t="n">
        <f aca="false">Tabelle!M42</f>
        <v>45169</v>
      </c>
      <c r="F18" s="11" t="n">
        <f aca="false">Tabelle!M10</f>
        <v>47.18</v>
      </c>
      <c r="G18" s="5"/>
      <c r="H18" s="20" t="n">
        <f aca="false">Tabelle!F127</f>
        <v>0.2575</v>
      </c>
      <c r="I18" s="12" t="n">
        <f aca="false">F18*H18</f>
        <v>12.14885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23</v>
      </c>
      <c r="D19" s="11" t="n">
        <f aca="false">Tabelle!M27</f>
        <v>28.2</v>
      </c>
      <c r="E19" s="6" t="n">
        <f aca="false">Tabelle!M43</f>
        <v>29781</v>
      </c>
      <c r="F19" s="11" t="n">
        <f aca="false">Tabelle!M11</f>
        <v>62.4200000000001</v>
      </c>
      <c r="G19" s="5"/>
      <c r="H19" s="20" t="n">
        <f aca="false">Tabelle!F128</f>
        <v>0.355</v>
      </c>
      <c r="I19" s="12" t="n">
        <f aca="false">F19*H19</f>
        <v>22.1591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23</v>
      </c>
      <c r="D20" s="11" t="n">
        <f aca="false">Tabelle!M28</f>
        <v>145.4</v>
      </c>
      <c r="E20" s="6" t="n">
        <f aca="false">Tabelle!M44</f>
        <v>136744</v>
      </c>
      <c r="F20" s="11" t="n">
        <f aca="false">Tabelle!M12</f>
        <v>249.28</v>
      </c>
      <c r="G20" s="5"/>
      <c r="H20" s="20" t="n">
        <f aca="false">Tabelle!F129</f>
        <v>0.296</v>
      </c>
      <c r="I20" s="12" t="n">
        <f aca="false">F20*H20</f>
        <v>73.78688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23</v>
      </c>
      <c r="D21" s="11" t="n">
        <f aca="false">Tabelle!M29</f>
        <v>0</v>
      </c>
      <c r="E21" s="6" t="n">
        <f aca="false">Tabelle!M45</f>
        <v>0</v>
      </c>
      <c r="F21" s="11" t="n">
        <f aca="false">Tabelle!M13</f>
        <v>4.5</v>
      </c>
      <c r="G21" s="5"/>
      <c r="H21" s="20" t="n">
        <f aca="false">Tabelle!F130</f>
        <v>0.3268</v>
      </c>
      <c r="I21" s="5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23</v>
      </c>
      <c r="D22" s="11" t="n">
        <f aca="false">Tabelle!M30</f>
        <v>0</v>
      </c>
      <c r="E22" s="6" t="n">
        <f aca="false">Tabelle!M46</f>
        <v>0</v>
      </c>
      <c r="F22" s="11" t="n">
        <f aca="false">Tabelle!M14</f>
        <v>3.52999999999997</v>
      </c>
      <c r="G22" s="5"/>
      <c r="H22" s="20" t="n">
        <f aca="false">Tabelle!F131</f>
        <v>0.2732</v>
      </c>
      <c r="I22" s="5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23</v>
      </c>
      <c r="D23" s="11" t="n">
        <f aca="false">Tabelle!M31</f>
        <v>0</v>
      </c>
      <c r="E23" s="6" t="n">
        <f aca="false">Tabelle!M47</f>
        <v>0</v>
      </c>
      <c r="F23" s="11" t="n">
        <f aca="false">Tabelle!M15</f>
        <v>0</v>
      </c>
      <c r="G23" s="5"/>
      <c r="H23" s="20" t="n">
        <f aca="false">Tabelle!F132</f>
        <v>0.2134</v>
      </c>
      <c r="I23" s="5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23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23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21" t="s">
        <v>41</v>
      </c>
      <c r="B1" s="21" t="s">
        <v>42</v>
      </c>
      <c r="C1" s="21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3" t="s">
        <v>50</v>
      </c>
      <c r="K1" s="23" t="s">
        <v>51</v>
      </c>
    </row>
    <row r="2" customFormat="false" ht="15" hidden="false" customHeight="false" outlineLevel="0" collapsed="false">
      <c r="A2" s="24" t="n">
        <v>2024</v>
      </c>
      <c r="B2" s="24" t="n">
        <v>1</v>
      </c>
      <c r="C2" s="25" t="s">
        <v>24</v>
      </c>
      <c r="D2" s="26" t="n">
        <v>0</v>
      </c>
      <c r="E2" s="26" t="n">
        <v>0</v>
      </c>
      <c r="F2" s="25"/>
      <c r="G2" s="25"/>
      <c r="H2" s="27" t="n">
        <f aca="false">Tabelle!F111</f>
        <v>0.2557</v>
      </c>
      <c r="I2" s="2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24" t="n">
        <v>2024</v>
      </c>
      <c r="B3" s="24" t="n">
        <v>2</v>
      </c>
      <c r="C3" s="25" t="s">
        <v>24</v>
      </c>
      <c r="D3" s="26" t="n">
        <v>0</v>
      </c>
      <c r="E3" s="26" t="n">
        <v>0</v>
      </c>
      <c r="F3" s="25"/>
      <c r="G3" s="25"/>
      <c r="H3" s="27" t="n">
        <f aca="false">Tabelle!F112</f>
        <v>0.2378</v>
      </c>
      <c r="I3" s="2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24" t="n">
        <v>2024</v>
      </c>
      <c r="B4" s="24" t="n">
        <v>3</v>
      </c>
      <c r="C4" s="25" t="s">
        <v>24</v>
      </c>
      <c r="D4" s="26" t="n">
        <v>0</v>
      </c>
      <c r="E4" s="26" t="n">
        <v>0</v>
      </c>
      <c r="F4" s="25"/>
      <c r="G4" s="25"/>
      <c r="H4" s="27" t="n">
        <f aca="false">Tabelle!F113</f>
        <v>0.2428</v>
      </c>
      <c r="I4" s="2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24" t="n">
        <v>2024</v>
      </c>
      <c r="B5" s="24" t="n">
        <v>4</v>
      </c>
      <c r="C5" s="25" t="s">
        <v>24</v>
      </c>
      <c r="D5" s="26" t="n">
        <v>0</v>
      </c>
      <c r="E5" s="26" t="n">
        <v>0</v>
      </c>
      <c r="F5" s="25"/>
      <c r="G5" s="25"/>
      <c r="H5" s="27" t="n">
        <f aca="false">Tabelle!F114</f>
        <v>0.2416</v>
      </c>
      <c r="I5" s="2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24" t="n">
        <v>2024</v>
      </c>
      <c r="B6" s="24" t="n">
        <v>5</v>
      </c>
      <c r="C6" s="25" t="s">
        <v>24</v>
      </c>
      <c r="D6" s="26" t="n">
        <v>0</v>
      </c>
      <c r="E6" s="26" t="n">
        <v>700</v>
      </c>
      <c r="F6" s="25"/>
      <c r="G6" s="25"/>
      <c r="H6" s="27" t="n">
        <f aca="false">Tabelle!F115</f>
        <v>0.2507</v>
      </c>
      <c r="I6" s="2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24" t="n">
        <v>2024</v>
      </c>
      <c r="B7" s="24" t="n">
        <v>6</v>
      </c>
      <c r="C7" s="25" t="s">
        <v>24</v>
      </c>
      <c r="D7" s="26" t="n">
        <v>0</v>
      </c>
      <c r="E7" s="26" t="n">
        <v>0</v>
      </c>
      <c r="F7" s="25"/>
      <c r="G7" s="25"/>
      <c r="H7" s="27" t="n">
        <f aca="false">Tabelle!F116</f>
        <v>0.2722</v>
      </c>
      <c r="I7" s="2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24" t="n">
        <v>2024</v>
      </c>
      <c r="B8" s="24" t="n">
        <v>7</v>
      </c>
      <c r="C8" s="25" t="s">
        <v>24</v>
      </c>
      <c r="D8" s="26" t="n">
        <v>0</v>
      </c>
      <c r="E8" s="26" t="n">
        <v>0</v>
      </c>
      <c r="F8" s="25"/>
      <c r="G8" s="25"/>
      <c r="H8" s="27" t="n">
        <f aca="false">Tabelle!F117</f>
        <v>0.287</v>
      </c>
      <c r="I8" s="2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24" t="n">
        <v>2024</v>
      </c>
      <c r="B9" s="24" t="n">
        <v>8</v>
      </c>
      <c r="C9" s="25" t="s">
        <v>24</v>
      </c>
      <c r="D9" s="26" t="n">
        <v>0</v>
      </c>
      <c r="E9" s="26" t="n">
        <v>0</v>
      </c>
      <c r="F9" s="25"/>
      <c r="G9" s="25"/>
      <c r="H9" s="27" t="n">
        <f aca="false">Tabelle!F118</f>
        <v>0.3047</v>
      </c>
      <c r="I9" s="2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24" t="n">
        <v>2024</v>
      </c>
      <c r="B10" s="24" t="n">
        <v>9</v>
      </c>
      <c r="C10" s="25" t="s">
        <v>24</v>
      </c>
      <c r="D10" s="26" t="n">
        <v>0</v>
      </c>
      <c r="E10" s="26" t="n">
        <v>500</v>
      </c>
      <c r="F10" s="25"/>
      <c r="G10" s="25"/>
      <c r="H10" s="27" t="n">
        <f aca="false">Tabelle!F119</f>
        <v>0.2904</v>
      </c>
      <c r="I10" s="2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24" t="n">
        <v>2024</v>
      </c>
      <c r="B11" s="24" t="n">
        <v>10</v>
      </c>
      <c r="C11" s="25" t="s">
        <v>24</v>
      </c>
      <c r="D11" s="26" t="n">
        <v>0</v>
      </c>
      <c r="E11" s="30" t="n">
        <v>0</v>
      </c>
      <c r="F11" s="25"/>
      <c r="G11" s="25"/>
      <c r="H11" s="27" t="n">
        <f aca="false">Tabelle!F120</f>
        <v>0.2856</v>
      </c>
      <c r="I11" s="2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24" t="n">
        <v>2024</v>
      </c>
      <c r="B12" s="24" t="n">
        <v>11</v>
      </c>
      <c r="C12" s="25" t="s">
        <v>24</v>
      </c>
      <c r="D12" s="26" t="n">
        <v>0</v>
      </c>
      <c r="E12" s="26" t="n">
        <v>264</v>
      </c>
      <c r="F12" s="11"/>
      <c r="G12" s="25"/>
      <c r="H12" s="27" t="n">
        <f aca="false">Tabelle!F121</f>
        <v>0.307</v>
      </c>
      <c r="I12" s="31" t="n">
        <f aca="false">F12*H12</f>
        <v>0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24" t="n">
        <v>2024</v>
      </c>
      <c r="B13" s="24" t="n">
        <v>12</v>
      </c>
      <c r="C13" s="25" t="s">
        <v>24</v>
      </c>
      <c r="D13" s="26" t="n">
        <v>0</v>
      </c>
      <c r="E13" s="26" t="n">
        <v>0</v>
      </c>
      <c r="F13" s="11"/>
      <c r="G13" s="25"/>
      <c r="H13" s="27" t="n">
        <f aca="false">Tabelle!F122</f>
        <v>0.331</v>
      </c>
      <c r="I13" s="31" t="n">
        <f aca="false">F13*H13</f>
        <v>0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29" t="n">
        <v>2025</v>
      </c>
      <c r="B14" s="29" t="n">
        <v>1</v>
      </c>
      <c r="C14" s="25" t="s">
        <v>24</v>
      </c>
      <c r="D14" s="26" t="n">
        <v>0</v>
      </c>
      <c r="E14" s="26" t="n">
        <v>0</v>
      </c>
      <c r="F14" s="11"/>
      <c r="G14" s="25"/>
      <c r="H14" s="27" t="n">
        <f aca="false">Tabelle!F123</f>
        <v>0.335</v>
      </c>
      <c r="I14" s="31" t="n">
        <f aca="false">F14*H14</f>
        <v>0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29" t="n">
        <v>2025</v>
      </c>
      <c r="B15" s="29" t="n">
        <v>2</v>
      </c>
      <c r="C15" s="25" t="s">
        <v>24</v>
      </c>
      <c r="D15" s="26" t="n">
        <v>0</v>
      </c>
      <c r="E15" s="26" t="n">
        <v>0</v>
      </c>
      <c r="F15" s="11"/>
      <c r="G15" s="25"/>
      <c r="H15" s="27" t="n">
        <f aca="false">Tabelle!F124</f>
        <v>0.334</v>
      </c>
      <c r="I15" s="31" t="n">
        <f aca="false">F15*H15</f>
        <v>0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29" t="n">
        <v>2025</v>
      </c>
      <c r="B16" s="29" t="n">
        <v>3</v>
      </c>
      <c r="C16" s="25" t="s">
        <v>24</v>
      </c>
      <c r="D16" s="26" t="n">
        <v>0</v>
      </c>
      <c r="E16" s="26" t="n">
        <v>0</v>
      </c>
      <c r="F16" s="11"/>
      <c r="G16" s="25"/>
      <c r="H16" s="27" t="n">
        <f aca="false">Tabelle!F125</f>
        <v>0.286</v>
      </c>
      <c r="I16" s="31" t="n">
        <f aca="false">F16*H16</f>
        <v>0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29" t="n">
        <v>2025</v>
      </c>
      <c r="B17" s="29" t="n">
        <v>4</v>
      </c>
      <c r="C17" s="25" t="s">
        <v>24</v>
      </c>
      <c r="D17" s="26" t="n">
        <v>0</v>
      </c>
      <c r="E17" s="26" t="n">
        <v>0</v>
      </c>
      <c r="F17" s="11"/>
      <c r="G17" s="25"/>
      <c r="H17" s="27" t="n">
        <f aca="false">Tabelle!F126</f>
        <v>0.2655</v>
      </c>
      <c r="I17" s="31" t="n">
        <f aca="false">F17*H17</f>
        <v>0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29" t="n">
        <v>2025</v>
      </c>
      <c r="B18" s="29" t="n">
        <v>5</v>
      </c>
      <c r="C18" s="25" t="s">
        <v>24</v>
      </c>
      <c r="D18" s="26" t="n">
        <v>0</v>
      </c>
      <c r="E18" s="26" t="n">
        <v>0</v>
      </c>
      <c r="F18" s="11"/>
      <c r="G18" s="25"/>
      <c r="H18" s="27" t="n">
        <f aca="false">Tabelle!F127</f>
        <v>0.2575</v>
      </c>
      <c r="I18" s="31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29" t="n">
        <v>2025</v>
      </c>
      <c r="B19" s="29" t="n">
        <v>6</v>
      </c>
      <c r="C19" s="25" t="s">
        <v>24</v>
      </c>
      <c r="D19" s="26" t="n">
        <v>0</v>
      </c>
      <c r="E19" s="26" t="n">
        <v>0</v>
      </c>
      <c r="F19" s="11"/>
      <c r="G19" s="25"/>
      <c r="H19" s="27" t="n">
        <f aca="false">Tabelle!F128</f>
        <v>0.355</v>
      </c>
      <c r="I19" s="31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29" t="n">
        <v>2025</v>
      </c>
      <c r="B20" s="29" t="n">
        <v>7</v>
      </c>
      <c r="C20" s="25" t="s">
        <v>24</v>
      </c>
      <c r="D20" s="26" t="n">
        <v>0</v>
      </c>
      <c r="E20" s="26" t="n">
        <v>0</v>
      </c>
      <c r="F20" s="11"/>
      <c r="G20" s="25"/>
      <c r="H20" s="27" t="n">
        <f aca="false">Tabelle!F129</f>
        <v>0.296</v>
      </c>
      <c r="I20" s="31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29" t="n">
        <v>2025</v>
      </c>
      <c r="B21" s="29" t="n">
        <v>8</v>
      </c>
      <c r="C21" s="25" t="s">
        <v>24</v>
      </c>
      <c r="D21" s="26" t="n">
        <v>0</v>
      </c>
      <c r="E21" s="26" t="n">
        <v>0</v>
      </c>
      <c r="F21" s="25"/>
      <c r="G21" s="25"/>
      <c r="H21" s="27" t="n">
        <f aca="false">Tabelle!F130</f>
        <v>0.3268</v>
      </c>
      <c r="I21" s="25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29" t="n">
        <v>2025</v>
      </c>
      <c r="B22" s="29" t="n">
        <v>9</v>
      </c>
      <c r="C22" s="25" t="s">
        <v>24</v>
      </c>
      <c r="D22" s="26" t="n">
        <v>0</v>
      </c>
      <c r="E22" s="26" t="n">
        <v>0</v>
      </c>
      <c r="F22" s="25"/>
      <c r="G22" s="25"/>
      <c r="H22" s="27" t="n">
        <f aca="false">Tabelle!F131</f>
        <v>0.2732</v>
      </c>
      <c r="I22" s="25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29" t="n">
        <v>2025</v>
      </c>
      <c r="B23" s="29" t="n">
        <v>10</v>
      </c>
      <c r="C23" s="25" t="s">
        <v>24</v>
      </c>
      <c r="D23" s="26" t="n">
        <v>0</v>
      </c>
      <c r="E23" s="26" t="n">
        <v>0</v>
      </c>
      <c r="F23" s="25"/>
      <c r="G23" s="25"/>
      <c r="H23" s="27" t="n">
        <f aca="false">Tabelle!F132</f>
        <v>0.2134</v>
      </c>
      <c r="I23" s="25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29" t="n">
        <v>2025</v>
      </c>
      <c r="B24" s="29" t="n">
        <v>11</v>
      </c>
      <c r="C24" s="25" t="s">
        <v>24</v>
      </c>
      <c r="D24" s="25"/>
      <c r="E24" s="25"/>
      <c r="F24" s="25"/>
      <c r="G24" s="25"/>
      <c r="H24" s="27" t="n">
        <f aca="false">Tabelle!F133</f>
        <v>0.2261</v>
      </c>
      <c r="I24" s="2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29" t="n">
        <v>2025</v>
      </c>
      <c r="B25" s="29" t="n">
        <v>12</v>
      </c>
      <c r="C25" s="25" t="s">
        <v>24</v>
      </c>
      <c r="D25" s="25"/>
      <c r="E25" s="25"/>
      <c r="F25" s="25"/>
      <c r="G25" s="25"/>
      <c r="H25" s="27" t="n">
        <f aca="false">Tabelle!F134</f>
        <v>0</v>
      </c>
      <c r="I25" s="2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32" width="9.14"/>
    <col collapsed="false" customWidth="true" hidden="false" outlineLevel="0" max="3" min="3" style="32" width="19.57"/>
    <col collapsed="false" customWidth="true" hidden="false" outlineLevel="0" max="4" min="4" style="32" width="23.72"/>
    <col collapsed="false" customWidth="true" hidden="false" outlineLevel="0" max="5" min="5" style="32" width="13.43"/>
    <col collapsed="false" customWidth="false" hidden="false" outlineLevel="0" max="7" min="6" style="32" width="9.14"/>
    <col collapsed="false" customWidth="true" hidden="false" outlineLevel="0" max="8" min="8" style="32" width="12.86"/>
    <col collapsed="false" customWidth="true" hidden="false" outlineLevel="0" max="9" min="9" style="32" width="14.57"/>
    <col collapsed="false" customWidth="true" hidden="false" outlineLevel="0" max="10" min="10" style="32" width="21.29"/>
    <col collapsed="false" customWidth="true" hidden="false" outlineLevel="0" max="11" min="11" style="32" width="24.14"/>
    <col collapsed="false" customWidth="false" hidden="false" outlineLevel="0" max="16384" min="12" style="32" width="9.14"/>
  </cols>
  <sheetData>
    <row r="1" customFormat="false" ht="15" hidden="false" customHeight="false" outlineLevel="0" collapsed="false">
      <c r="A1" s="33" t="s">
        <v>41</v>
      </c>
      <c r="B1" s="33" t="s">
        <v>42</v>
      </c>
      <c r="C1" s="33" t="s">
        <v>43</v>
      </c>
      <c r="D1" s="34" t="s">
        <v>44</v>
      </c>
      <c r="E1" s="34" t="s">
        <v>45</v>
      </c>
      <c r="F1" s="34" t="s">
        <v>46</v>
      </c>
      <c r="G1" s="34" t="s">
        <v>47</v>
      </c>
      <c r="H1" s="34" t="s">
        <v>48</v>
      </c>
      <c r="I1" s="34" t="s">
        <v>49</v>
      </c>
      <c r="J1" s="17" t="s">
        <v>50</v>
      </c>
      <c r="K1" s="17" t="s">
        <v>51</v>
      </c>
    </row>
    <row r="2" customFormat="false" ht="15" hidden="false" customHeight="false" outlineLevel="0" collapsed="false">
      <c r="A2" s="35" t="n">
        <v>2024</v>
      </c>
      <c r="B2" s="35" t="n">
        <v>1</v>
      </c>
      <c r="C2" s="6" t="s">
        <v>25</v>
      </c>
      <c r="D2" s="6" t="n">
        <v>55.1</v>
      </c>
      <c r="E2" s="6" t="n">
        <v>45289</v>
      </c>
      <c r="F2" s="6"/>
      <c r="G2" s="6"/>
      <c r="H2" s="36" t="n">
        <f aca="false">Tabelle!F111</f>
        <v>0.2557</v>
      </c>
      <c r="I2" s="6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35" t="n">
        <v>2024</v>
      </c>
      <c r="B3" s="35" t="n">
        <v>2</v>
      </c>
      <c r="C3" s="6" t="s">
        <v>25</v>
      </c>
      <c r="D3" s="6" t="n">
        <v>12.43</v>
      </c>
      <c r="E3" s="6" t="n">
        <v>10870</v>
      </c>
      <c r="F3" s="6"/>
      <c r="G3" s="6"/>
      <c r="H3" s="36" t="n">
        <f aca="false">Tabelle!F112</f>
        <v>0.2378</v>
      </c>
      <c r="I3" s="6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35" t="n">
        <v>2024</v>
      </c>
      <c r="B4" s="35" t="n">
        <v>3</v>
      </c>
      <c r="C4" s="6" t="s">
        <v>25</v>
      </c>
      <c r="D4" s="6" t="n">
        <v>52.89</v>
      </c>
      <c r="E4" s="6" t="n">
        <v>50936</v>
      </c>
      <c r="F4" s="6"/>
      <c r="G4" s="6"/>
      <c r="H4" s="36" t="n">
        <f aca="false">Tabelle!F113</f>
        <v>0.2428</v>
      </c>
      <c r="I4" s="6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35" t="n">
        <v>2024</v>
      </c>
      <c r="B5" s="35" t="n">
        <v>4</v>
      </c>
      <c r="C5" s="6" t="s">
        <v>25</v>
      </c>
      <c r="D5" s="6" t="n">
        <v>53.8</v>
      </c>
      <c r="E5" s="6" t="n">
        <v>62133</v>
      </c>
      <c r="F5" s="6"/>
      <c r="G5" s="6"/>
      <c r="H5" s="36" t="n">
        <f aca="false">Tabelle!F114</f>
        <v>0.2416</v>
      </c>
      <c r="I5" s="6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35" t="n">
        <v>2024</v>
      </c>
      <c r="B6" s="35" t="n">
        <v>5</v>
      </c>
      <c r="C6" s="6" t="s">
        <v>25</v>
      </c>
      <c r="D6" s="6" t="n">
        <v>71.44</v>
      </c>
      <c r="E6" s="6" t="n">
        <v>78378</v>
      </c>
      <c r="F6" s="6"/>
      <c r="G6" s="6"/>
      <c r="H6" s="36" t="n">
        <f aca="false">Tabelle!F115</f>
        <v>0.2507</v>
      </c>
      <c r="I6" s="6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35" t="n">
        <v>2024</v>
      </c>
      <c r="B7" s="35" t="n">
        <v>6</v>
      </c>
      <c r="C7" s="6" t="s">
        <v>25</v>
      </c>
      <c r="D7" s="6" t="n">
        <v>103.25</v>
      </c>
      <c r="E7" s="6" t="n">
        <v>134713</v>
      </c>
      <c r="F7" s="6"/>
      <c r="G7" s="6"/>
      <c r="H7" s="36" t="n">
        <f aca="false">Tabelle!F116</f>
        <v>0.2722</v>
      </c>
      <c r="I7" s="6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35" t="n">
        <v>2024</v>
      </c>
      <c r="B8" s="35" t="n">
        <v>7</v>
      </c>
      <c r="C8" s="6" t="s">
        <v>25</v>
      </c>
      <c r="D8" s="6" t="n">
        <v>127.09</v>
      </c>
      <c r="E8" s="6" t="n">
        <v>110641</v>
      </c>
      <c r="F8" s="6"/>
      <c r="G8" s="6"/>
      <c r="H8" s="36" t="n">
        <f aca="false">Tabelle!F117</f>
        <v>0.287</v>
      </c>
      <c r="I8" s="6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35" t="n">
        <v>2024</v>
      </c>
      <c r="B9" s="35" t="n">
        <v>8</v>
      </c>
      <c r="C9" s="6" t="s">
        <v>25</v>
      </c>
      <c r="D9" s="6" t="n">
        <v>33.31</v>
      </c>
      <c r="E9" s="6" t="n">
        <v>42210</v>
      </c>
      <c r="F9" s="6"/>
      <c r="G9" s="6"/>
      <c r="H9" s="36" t="n">
        <f aca="false">Tabelle!F118</f>
        <v>0.3047</v>
      </c>
      <c r="I9" s="6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35" t="n">
        <v>2024</v>
      </c>
      <c r="B10" s="35" t="n">
        <v>9</v>
      </c>
      <c r="C10" s="6" t="s">
        <v>25</v>
      </c>
      <c r="D10" s="6" t="n">
        <v>71.43</v>
      </c>
      <c r="E10" s="6" t="n">
        <v>74797</v>
      </c>
      <c r="F10" s="6"/>
      <c r="G10" s="6"/>
      <c r="H10" s="36" t="n">
        <f aca="false">Tabelle!F119</f>
        <v>0.2904</v>
      </c>
      <c r="I10" s="6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35" t="n">
        <v>2024</v>
      </c>
      <c r="B11" s="35" t="n">
        <v>10</v>
      </c>
      <c r="C11" s="6" t="s">
        <v>25</v>
      </c>
      <c r="D11" s="6" t="n">
        <v>128.34</v>
      </c>
      <c r="E11" s="9" t="n">
        <v>146262</v>
      </c>
      <c r="F11" s="6"/>
      <c r="G11" s="6"/>
      <c r="H11" s="36" t="n">
        <f aca="false">Tabelle!F120</f>
        <v>0.2856</v>
      </c>
      <c r="I11" s="6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35" t="n">
        <v>2024</v>
      </c>
      <c r="B12" s="35" t="n">
        <v>11</v>
      </c>
      <c r="C12" s="6" t="s">
        <v>25</v>
      </c>
      <c r="D12" s="10" t="n">
        <f aca="false">Tabelle!N20</f>
        <v>112.6</v>
      </c>
      <c r="E12" s="6" t="n">
        <f aca="false">Tabelle!N36</f>
        <v>151631</v>
      </c>
      <c r="F12" s="10" t="n">
        <f aca="false">Tabelle!N4</f>
        <v>1682.52</v>
      </c>
      <c r="G12" s="6"/>
      <c r="H12" s="36" t="n">
        <f aca="false">Tabelle!F121</f>
        <v>0.307</v>
      </c>
      <c r="I12" s="12" t="n">
        <f aca="false">F12*H12</f>
        <v>516.53364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35" t="n">
        <v>2024</v>
      </c>
      <c r="B13" s="35" t="n">
        <v>12</v>
      </c>
      <c r="C13" s="6" t="s">
        <v>25</v>
      </c>
      <c r="D13" s="10" t="n">
        <f aca="false">Tabelle!N21</f>
        <v>48.2</v>
      </c>
      <c r="E13" s="6" t="n">
        <f aca="false">Tabelle!N37</f>
        <v>62172</v>
      </c>
      <c r="F13" s="10" t="n">
        <f aca="false">Tabelle!N5</f>
        <v>889.24</v>
      </c>
      <c r="G13" s="6"/>
      <c r="H13" s="36" t="n">
        <f aca="false">Tabelle!F122</f>
        <v>0.331</v>
      </c>
      <c r="I13" s="12" t="n">
        <f aca="false">F13*H13</f>
        <v>294.33844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37" t="n">
        <v>2025</v>
      </c>
      <c r="B14" s="37" t="n">
        <v>1</v>
      </c>
      <c r="C14" s="6" t="s">
        <v>25</v>
      </c>
      <c r="D14" s="10" t="n">
        <f aca="false">Tabelle!N22</f>
        <v>92.6</v>
      </c>
      <c r="E14" s="6" t="n">
        <f aca="false">Tabelle!N38</f>
        <v>122346</v>
      </c>
      <c r="F14" s="10" t="n">
        <f aca="false">Tabelle!N6</f>
        <v>917.49</v>
      </c>
      <c r="G14" s="6"/>
      <c r="H14" s="36" t="n">
        <f aca="false">Tabelle!F123</f>
        <v>0.335</v>
      </c>
      <c r="I14" s="12" t="n">
        <f aca="false">F14*H14</f>
        <v>307.35915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37" t="n">
        <v>2025</v>
      </c>
      <c r="B15" s="37" t="n">
        <v>2</v>
      </c>
      <c r="C15" s="6" t="s">
        <v>25</v>
      </c>
      <c r="D15" s="10" t="n">
        <f aca="false">Tabelle!N23</f>
        <v>67.7</v>
      </c>
      <c r="E15" s="6" t="n">
        <f aca="false">Tabelle!N39</f>
        <v>80711</v>
      </c>
      <c r="F15" s="10" t="n">
        <f aca="false">Tabelle!N7</f>
        <v>810.1</v>
      </c>
      <c r="G15" s="6"/>
      <c r="H15" s="36" t="n">
        <f aca="false">Tabelle!F124</f>
        <v>0.334</v>
      </c>
      <c r="I15" s="12" t="n">
        <f aca="false">F15*H15</f>
        <v>270.5734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37" t="n">
        <v>2025</v>
      </c>
      <c r="B16" s="37" t="n">
        <v>3</v>
      </c>
      <c r="C16" s="6" t="s">
        <v>25</v>
      </c>
      <c r="D16" s="10" t="n">
        <f aca="false">Tabelle!N24</f>
        <v>83.2</v>
      </c>
      <c r="E16" s="6" t="n">
        <f aca="false">Tabelle!N40</f>
        <v>99845</v>
      </c>
      <c r="F16" s="10" t="n">
        <f aca="false">Tabelle!N8</f>
        <v>1276.28</v>
      </c>
      <c r="G16" s="6"/>
      <c r="H16" s="36" t="n">
        <f aca="false">Tabelle!F125</f>
        <v>0.286</v>
      </c>
      <c r="I16" s="12" t="n">
        <f aca="false">F16*H16</f>
        <v>365.01608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37" t="n">
        <v>2025</v>
      </c>
      <c r="B17" s="37" t="n">
        <v>4</v>
      </c>
      <c r="C17" s="6" t="s">
        <v>25</v>
      </c>
      <c r="D17" s="10" t="n">
        <f aca="false">Tabelle!N25</f>
        <v>135.5</v>
      </c>
      <c r="E17" s="6" t="n">
        <f aca="false">Tabelle!N41</f>
        <v>72022</v>
      </c>
      <c r="F17" s="10" t="n">
        <f aca="false">Tabelle!N9</f>
        <v>1183.17</v>
      </c>
      <c r="G17" s="6"/>
      <c r="H17" s="36" t="n">
        <f aca="false">Tabelle!F126</f>
        <v>0.2655</v>
      </c>
      <c r="I17" s="12" t="n">
        <f aca="false">F17*H17</f>
        <v>314.131635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37" t="n">
        <v>2025</v>
      </c>
      <c r="B18" s="37" t="n">
        <v>5</v>
      </c>
      <c r="C18" s="6" t="s">
        <v>25</v>
      </c>
      <c r="D18" s="10" t="n">
        <f aca="false">Tabelle!N26</f>
        <v>38.5</v>
      </c>
      <c r="E18" s="6" t="n">
        <f aca="false">Tabelle!N42</f>
        <v>41672</v>
      </c>
      <c r="F18" s="10" t="n">
        <f aca="false">Tabelle!N10</f>
        <v>668.700000000001</v>
      </c>
      <c r="G18" s="6"/>
      <c r="H18" s="36" t="n">
        <f aca="false">Tabelle!F127</f>
        <v>0.2575</v>
      </c>
      <c r="I18" s="12" t="n">
        <f aca="false">F18*H18</f>
        <v>172.19025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37" t="n">
        <v>2025</v>
      </c>
      <c r="B19" s="37" t="n">
        <v>6</v>
      </c>
      <c r="C19" s="6" t="s">
        <v>25</v>
      </c>
      <c r="D19" s="10" t="n">
        <f aca="false">Tabelle!N27</f>
        <v>45.6</v>
      </c>
      <c r="E19" s="6" t="n">
        <f aca="false">Tabelle!N43</f>
        <v>48181</v>
      </c>
      <c r="F19" s="10" t="n">
        <f aca="false">Tabelle!N11</f>
        <v>938.469999999999</v>
      </c>
      <c r="G19" s="6"/>
      <c r="H19" s="36" t="n">
        <f aca="false">Tabelle!F128</f>
        <v>0.355</v>
      </c>
      <c r="I19" s="12" t="n">
        <f aca="false">F19*H19</f>
        <v>333.15685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37" t="n">
        <v>2025</v>
      </c>
      <c r="B20" s="37" t="n">
        <v>7</v>
      </c>
      <c r="C20" s="6" t="s">
        <v>25</v>
      </c>
      <c r="D20" s="10" t="n">
        <f aca="false">Tabelle!N28</f>
        <v>50.6</v>
      </c>
      <c r="E20" s="6" t="n">
        <f aca="false">Tabelle!N44</f>
        <v>53004</v>
      </c>
      <c r="F20" s="10" t="n">
        <f aca="false">Tabelle!N12</f>
        <v>906.320000000002</v>
      </c>
      <c r="G20" s="6"/>
      <c r="H20" s="36" t="n">
        <f aca="false">Tabelle!F129</f>
        <v>0.296</v>
      </c>
      <c r="I20" s="12" t="n">
        <f aca="false">F20*H20</f>
        <v>268.27072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37" t="n">
        <v>2025</v>
      </c>
      <c r="B21" s="37" t="n">
        <v>8</v>
      </c>
      <c r="C21" s="6" t="s">
        <v>25</v>
      </c>
      <c r="D21" s="10" t="n">
        <f aca="false">Tabelle!N29</f>
        <v>14.56</v>
      </c>
      <c r="E21" s="6" t="n">
        <f aca="false">Tabelle!N45</f>
        <v>16100</v>
      </c>
      <c r="F21" s="10" t="n">
        <f aca="false">Tabelle!N13</f>
        <v>224.48</v>
      </c>
      <c r="G21" s="6"/>
      <c r="H21" s="36" t="n">
        <f aca="false">Tabelle!F130</f>
        <v>0.3268</v>
      </c>
      <c r="I21" s="6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37" t="n">
        <v>2025</v>
      </c>
      <c r="B22" s="37" t="n">
        <v>9</v>
      </c>
      <c r="C22" s="6" t="s">
        <v>25</v>
      </c>
      <c r="D22" s="10" t="n">
        <f aca="false">Tabelle!N30</f>
        <v>37.98</v>
      </c>
      <c r="E22" s="6" t="n">
        <f aca="false">Tabelle!N46</f>
        <v>39691</v>
      </c>
      <c r="F22" s="10" t="n">
        <f aca="false">Tabelle!N14</f>
        <v>676.06</v>
      </c>
      <c r="G22" s="6"/>
      <c r="H22" s="36" t="n">
        <f aca="false">Tabelle!F131</f>
        <v>0.2732</v>
      </c>
      <c r="I22" s="6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37" t="n">
        <v>2025</v>
      </c>
      <c r="B23" s="37" t="n">
        <v>10</v>
      </c>
      <c r="C23" s="6" t="s">
        <v>25</v>
      </c>
      <c r="D23" s="10" t="n">
        <f aca="false">Tabelle!N31</f>
        <v>3.08</v>
      </c>
      <c r="E23" s="6" t="n">
        <f aca="false">Tabelle!N47</f>
        <v>5250</v>
      </c>
      <c r="F23" s="10" t="n">
        <f aca="false">Tabelle!N15</f>
        <v>481.51</v>
      </c>
      <c r="G23" s="6"/>
      <c r="H23" s="36" t="n">
        <f aca="false">Tabelle!F132</f>
        <v>0.2134</v>
      </c>
      <c r="I23" s="6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37" t="n">
        <v>2025</v>
      </c>
      <c r="B24" s="37" t="n">
        <v>11</v>
      </c>
      <c r="C24" s="6" t="s">
        <v>25</v>
      </c>
      <c r="D24" s="6"/>
      <c r="E24" s="6"/>
      <c r="F24" s="6"/>
      <c r="G24" s="6"/>
      <c r="H24" s="36" t="n">
        <f aca="false">Tabelle!F133</f>
        <v>0.2261</v>
      </c>
      <c r="I24" s="6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37" t="n">
        <v>2025</v>
      </c>
      <c r="B25" s="37" t="n">
        <v>12</v>
      </c>
      <c r="C25" s="6" t="s">
        <v>25</v>
      </c>
      <c r="D25" s="6"/>
      <c r="E25" s="6"/>
      <c r="F25" s="6"/>
      <c r="G25" s="6"/>
      <c r="H25" s="36" t="n">
        <f aca="false">Tabelle!F134</f>
        <v>0</v>
      </c>
      <c r="I25" s="6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21" t="s">
        <v>41</v>
      </c>
      <c r="B1" s="21" t="s">
        <v>42</v>
      </c>
      <c r="C1" s="21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3" t="s">
        <v>50</v>
      </c>
      <c r="K1" s="23" t="s">
        <v>51</v>
      </c>
    </row>
    <row r="2" customFormat="false" ht="15" hidden="false" customHeight="false" outlineLevel="0" collapsed="false">
      <c r="A2" s="24" t="n">
        <v>2024</v>
      </c>
      <c r="B2" s="24" t="n">
        <v>1</v>
      </c>
      <c r="C2" s="25" t="s">
        <v>26</v>
      </c>
      <c r="D2" s="26" t="n">
        <v>0</v>
      </c>
      <c r="E2" s="26" t="n">
        <v>744</v>
      </c>
      <c r="F2" s="25"/>
      <c r="G2" s="25"/>
      <c r="H2" s="27" t="n">
        <f aca="false">Tabelle!F111</f>
        <v>0.2557</v>
      </c>
      <c r="I2" s="2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24" t="n">
        <v>2024</v>
      </c>
      <c r="B3" s="24" t="n">
        <v>2</v>
      </c>
      <c r="C3" s="25" t="s">
        <v>26</v>
      </c>
      <c r="D3" s="26" t="n">
        <v>0</v>
      </c>
      <c r="E3" s="26" t="n">
        <v>376</v>
      </c>
      <c r="F3" s="25"/>
      <c r="G3" s="25"/>
      <c r="H3" s="27" t="n">
        <f aca="false">Tabelle!F112</f>
        <v>0.2378</v>
      </c>
      <c r="I3" s="2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24" t="n">
        <v>2024</v>
      </c>
      <c r="B4" s="24" t="n">
        <v>3</v>
      </c>
      <c r="C4" s="25" t="s">
        <v>26</v>
      </c>
      <c r="D4" s="26" t="n">
        <v>0</v>
      </c>
      <c r="E4" s="26" t="n">
        <v>0</v>
      </c>
      <c r="F4" s="25"/>
      <c r="G4" s="25"/>
      <c r="H4" s="27" t="n">
        <f aca="false">Tabelle!F113</f>
        <v>0.2428</v>
      </c>
      <c r="I4" s="2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24" t="n">
        <v>2024</v>
      </c>
      <c r="B5" s="24" t="n">
        <v>4</v>
      </c>
      <c r="C5" s="25" t="s">
        <v>26</v>
      </c>
      <c r="D5" s="26" t="n">
        <v>0</v>
      </c>
      <c r="E5" s="26" t="n">
        <v>0</v>
      </c>
      <c r="F5" s="25"/>
      <c r="G5" s="25"/>
      <c r="H5" s="27" t="n">
        <f aca="false">Tabelle!F114</f>
        <v>0.2416</v>
      </c>
      <c r="I5" s="2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24" t="n">
        <v>2024</v>
      </c>
      <c r="B6" s="24" t="n">
        <v>5</v>
      </c>
      <c r="C6" s="25" t="s">
        <v>26</v>
      </c>
      <c r="D6" s="26" t="n">
        <v>0</v>
      </c>
      <c r="E6" s="26" t="n">
        <v>576</v>
      </c>
      <c r="F6" s="25"/>
      <c r="G6" s="25"/>
      <c r="H6" s="27" t="n">
        <f aca="false">Tabelle!F115</f>
        <v>0.2507</v>
      </c>
      <c r="I6" s="2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24" t="n">
        <v>2024</v>
      </c>
      <c r="B7" s="24" t="n">
        <v>6</v>
      </c>
      <c r="C7" s="25" t="s">
        <v>26</v>
      </c>
      <c r="D7" s="26" t="n">
        <v>0</v>
      </c>
      <c r="E7" s="26" t="n">
        <v>250</v>
      </c>
      <c r="F7" s="25"/>
      <c r="G7" s="25"/>
      <c r="H7" s="27" t="n">
        <f aca="false">Tabelle!F116</f>
        <v>0.2722</v>
      </c>
      <c r="I7" s="2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24" t="n">
        <v>2024</v>
      </c>
      <c r="B8" s="24" t="n">
        <v>7</v>
      </c>
      <c r="C8" s="25" t="s">
        <v>26</v>
      </c>
      <c r="D8" s="26" t="n">
        <v>0</v>
      </c>
      <c r="E8" s="26" t="n">
        <v>15453</v>
      </c>
      <c r="F8" s="25"/>
      <c r="G8" s="25"/>
      <c r="H8" s="27" t="n">
        <f aca="false">Tabelle!F117</f>
        <v>0.287</v>
      </c>
      <c r="I8" s="2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24" t="n">
        <v>2024</v>
      </c>
      <c r="B9" s="24" t="n">
        <v>8</v>
      </c>
      <c r="C9" s="25" t="s">
        <v>26</v>
      </c>
      <c r="D9" s="26" t="n">
        <v>0</v>
      </c>
      <c r="E9" s="26" t="n">
        <v>0</v>
      </c>
      <c r="F9" s="25"/>
      <c r="G9" s="25"/>
      <c r="H9" s="27" t="n">
        <f aca="false">Tabelle!F118</f>
        <v>0.3047</v>
      </c>
      <c r="I9" s="2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24" t="n">
        <v>2024</v>
      </c>
      <c r="B10" s="24" t="n">
        <v>9</v>
      </c>
      <c r="C10" s="25" t="s">
        <v>26</v>
      </c>
      <c r="D10" s="26" t="n">
        <v>0</v>
      </c>
      <c r="E10" s="26" t="n">
        <v>1834</v>
      </c>
      <c r="F10" s="25"/>
      <c r="G10" s="25"/>
      <c r="H10" s="27" t="n">
        <f aca="false">Tabelle!F119</f>
        <v>0.2904</v>
      </c>
      <c r="I10" s="2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24" t="n">
        <v>2024</v>
      </c>
      <c r="B11" s="24" t="n">
        <v>10</v>
      </c>
      <c r="C11" s="25" t="s">
        <v>26</v>
      </c>
      <c r="D11" s="26" t="n">
        <v>0</v>
      </c>
      <c r="E11" s="30" t="n">
        <v>4112</v>
      </c>
      <c r="F11" s="25"/>
      <c r="G11" s="25"/>
      <c r="H11" s="27" t="n">
        <f aca="false">Tabelle!F120</f>
        <v>0.2856</v>
      </c>
      <c r="I11" s="2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24" t="n">
        <v>2024</v>
      </c>
      <c r="B12" s="24" t="n">
        <v>11</v>
      </c>
      <c r="C12" s="25" t="s">
        <v>26</v>
      </c>
      <c r="D12" s="10" t="n">
        <v>0</v>
      </c>
      <c r="E12" s="26" t="n">
        <v>4350</v>
      </c>
      <c r="F12" s="11"/>
      <c r="G12" s="25"/>
      <c r="H12" s="27" t="n">
        <f aca="false">Tabelle!F121</f>
        <v>0.307</v>
      </c>
      <c r="I12" s="31" t="n">
        <f aca="false">F12*H12</f>
        <v>0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24" t="n">
        <v>2024</v>
      </c>
      <c r="B13" s="24" t="n">
        <v>12</v>
      </c>
      <c r="C13" s="25" t="s">
        <v>26</v>
      </c>
      <c r="D13" s="10" t="n">
        <v>0</v>
      </c>
      <c r="E13" s="10" t="n">
        <v>31394</v>
      </c>
      <c r="F13" s="11"/>
      <c r="G13" s="25"/>
      <c r="H13" s="27" t="n">
        <f aca="false">Tabelle!F122</f>
        <v>0.331</v>
      </c>
      <c r="I13" s="31" t="n">
        <f aca="false">F13*H13</f>
        <v>0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29" t="n">
        <v>2025</v>
      </c>
      <c r="B14" s="29" t="n">
        <v>1</v>
      </c>
      <c r="C14" s="25" t="s">
        <v>26</v>
      </c>
      <c r="D14" s="10"/>
      <c r="E14" s="10"/>
      <c r="F14" s="11"/>
      <c r="G14" s="25"/>
      <c r="H14" s="27" t="n">
        <f aca="false">Tabelle!F123</f>
        <v>0.335</v>
      </c>
      <c r="I14" s="31" t="n">
        <f aca="false">F14*H14</f>
        <v>0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29" t="n">
        <v>2025</v>
      </c>
      <c r="B15" s="29" t="n">
        <v>2</v>
      </c>
      <c r="C15" s="25" t="s">
        <v>26</v>
      </c>
      <c r="D15" s="10"/>
      <c r="E15" s="10"/>
      <c r="F15" s="11"/>
      <c r="G15" s="25"/>
      <c r="H15" s="27" t="n">
        <f aca="false">Tabelle!F124</f>
        <v>0.334</v>
      </c>
      <c r="I15" s="31" t="n">
        <f aca="false">F15*H15</f>
        <v>0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29" t="n">
        <v>2025</v>
      </c>
      <c r="B16" s="29" t="n">
        <v>3</v>
      </c>
      <c r="C16" s="25" t="s">
        <v>26</v>
      </c>
      <c r="D16" s="10"/>
      <c r="E16" s="10"/>
      <c r="F16" s="11"/>
      <c r="G16" s="25"/>
      <c r="H16" s="27" t="n">
        <f aca="false">Tabelle!F125</f>
        <v>0.286</v>
      </c>
      <c r="I16" s="31" t="n">
        <f aca="false">F16*H16</f>
        <v>0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29" t="n">
        <v>2025</v>
      </c>
      <c r="B17" s="29" t="n">
        <v>4</v>
      </c>
      <c r="C17" s="25" t="s">
        <v>26</v>
      </c>
      <c r="D17" s="10"/>
      <c r="E17" s="10"/>
      <c r="F17" s="11"/>
      <c r="G17" s="25"/>
      <c r="H17" s="27" t="n">
        <f aca="false">Tabelle!F126</f>
        <v>0.2655</v>
      </c>
      <c r="I17" s="31" t="n">
        <f aca="false">F17*H17</f>
        <v>0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29" t="n">
        <v>2025</v>
      </c>
      <c r="B18" s="29" t="n">
        <v>5</v>
      </c>
      <c r="C18" s="25" t="s">
        <v>26</v>
      </c>
      <c r="D18" s="10"/>
      <c r="E18" s="10"/>
      <c r="F18" s="11"/>
      <c r="G18" s="25"/>
      <c r="H18" s="27" t="n">
        <f aca="false">Tabelle!F127</f>
        <v>0.2575</v>
      </c>
      <c r="I18" s="31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29" t="n">
        <v>2025</v>
      </c>
      <c r="B19" s="29" t="n">
        <v>6</v>
      </c>
      <c r="C19" s="25" t="s">
        <v>26</v>
      </c>
      <c r="D19" s="10"/>
      <c r="E19" s="10"/>
      <c r="F19" s="11"/>
      <c r="G19" s="25"/>
      <c r="H19" s="27" t="n">
        <f aca="false">Tabelle!F128</f>
        <v>0.355</v>
      </c>
      <c r="I19" s="31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29" t="n">
        <v>2025</v>
      </c>
      <c r="B20" s="29" t="n">
        <v>7</v>
      </c>
      <c r="C20" s="25" t="s">
        <v>26</v>
      </c>
      <c r="D20" s="10"/>
      <c r="E20" s="10"/>
      <c r="F20" s="11"/>
      <c r="G20" s="25"/>
      <c r="H20" s="27" t="n">
        <f aca="false">Tabelle!F129</f>
        <v>0.296</v>
      </c>
      <c r="I20" s="31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29" t="n">
        <v>2025</v>
      </c>
      <c r="B21" s="29" t="n">
        <v>8</v>
      </c>
      <c r="C21" s="25" t="s">
        <v>26</v>
      </c>
      <c r="D21" s="26" t="n">
        <v>0</v>
      </c>
      <c r="E21" s="26" t="n">
        <v>11284</v>
      </c>
      <c r="F21" s="25"/>
      <c r="G21" s="25"/>
      <c r="H21" s="27" t="n">
        <f aca="false">Tabelle!F130</f>
        <v>0.3268</v>
      </c>
      <c r="I21" s="25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29" t="n">
        <v>2025</v>
      </c>
      <c r="B22" s="29" t="n">
        <v>9</v>
      </c>
      <c r="C22" s="25" t="s">
        <v>26</v>
      </c>
      <c r="D22" s="26" t="n">
        <v>0</v>
      </c>
      <c r="E22" s="26" t="n">
        <v>22523</v>
      </c>
      <c r="F22" s="25"/>
      <c r="G22" s="25"/>
      <c r="H22" s="27" t="n">
        <f aca="false">Tabelle!F131</f>
        <v>0.2732</v>
      </c>
      <c r="I22" s="25"/>
      <c r="J22" s="6" t="n">
        <f aca="false">Tabelle!B131</f>
        <v>47214</v>
      </c>
      <c r="K22" s="8" t="n">
        <f aca="false">Tabelle!G108</f>
        <v>0</v>
      </c>
    </row>
    <row r="23" customFormat="false" ht="15" hidden="false" customHeight="false" outlineLevel="0" collapsed="false">
      <c r="A23" s="29" t="n">
        <v>2025</v>
      </c>
      <c r="B23" s="29" t="n">
        <v>10</v>
      </c>
      <c r="C23" s="25" t="s">
        <v>26</v>
      </c>
      <c r="D23" s="26" t="n">
        <v>0</v>
      </c>
      <c r="E23" s="26" t="n">
        <v>10000</v>
      </c>
      <c r="F23" s="25"/>
      <c r="G23" s="25"/>
      <c r="H23" s="27" t="n">
        <f aca="false">Tabelle!F132</f>
        <v>0.2134</v>
      </c>
      <c r="I23" s="25"/>
      <c r="J23" s="6" t="n">
        <f aca="false">Tabelle!B132</f>
        <v>47533</v>
      </c>
      <c r="K23" s="8" t="n">
        <f aca="false">Tabelle!G110</f>
        <v>0</v>
      </c>
    </row>
    <row r="24" customFormat="false" ht="15" hidden="false" customHeight="false" outlineLevel="0" collapsed="false">
      <c r="A24" s="29" t="n">
        <v>2025</v>
      </c>
      <c r="B24" s="29" t="n">
        <v>11</v>
      </c>
      <c r="C24" s="25" t="s">
        <v>26</v>
      </c>
      <c r="D24" s="26"/>
      <c r="E24" s="26"/>
      <c r="F24" s="25"/>
      <c r="G24" s="25"/>
      <c r="H24" s="27" t="n">
        <f aca="false">Tabelle!F133</f>
        <v>0.2261</v>
      </c>
      <c r="I24" s="2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29" t="n">
        <v>2025</v>
      </c>
      <c r="B25" s="29" t="n">
        <v>12</v>
      </c>
      <c r="C25" s="25" t="s">
        <v>26</v>
      </c>
      <c r="D25" s="26"/>
      <c r="E25" s="26"/>
      <c r="F25" s="25"/>
      <c r="G25" s="25"/>
      <c r="H25" s="27" t="n">
        <f aca="false">Tabelle!F134</f>
        <v>0</v>
      </c>
      <c r="I25" s="2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27</v>
      </c>
      <c r="D2" s="6" t="n">
        <v>44.22</v>
      </c>
      <c r="E2" s="6" t="n">
        <v>15977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27</v>
      </c>
      <c r="D3" s="6" t="n">
        <v>237.45</v>
      </c>
      <c r="E3" s="6" t="n">
        <v>80655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27</v>
      </c>
      <c r="D4" s="6" t="n">
        <v>230.27</v>
      </c>
      <c r="E4" s="6" t="n">
        <v>84827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27</v>
      </c>
      <c r="D5" s="6" t="n">
        <v>190.51</v>
      </c>
      <c r="E5" s="6" t="n">
        <v>47809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27</v>
      </c>
      <c r="D6" s="6" t="n">
        <v>100.88</v>
      </c>
      <c r="E6" s="6" t="n">
        <v>37786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27</v>
      </c>
      <c r="D7" s="6" t="n">
        <v>76.43</v>
      </c>
      <c r="E7" s="6" t="n">
        <v>29749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27</v>
      </c>
      <c r="D8" s="6" t="n">
        <v>4.85</v>
      </c>
      <c r="E8" s="6" t="n">
        <v>1657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27</v>
      </c>
      <c r="D9" s="6" t="n">
        <v>43.96</v>
      </c>
      <c r="E9" s="6" t="n">
        <v>15795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27</v>
      </c>
      <c r="D10" s="6" t="n">
        <v>193.27</v>
      </c>
      <c r="E10" s="6" t="n">
        <v>93880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27</v>
      </c>
      <c r="D11" s="6" t="n">
        <v>77.08</v>
      </c>
      <c r="E11" s="9" t="n">
        <v>36904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27</v>
      </c>
      <c r="D12" s="11" t="n">
        <f aca="false">Tabelle!P20</f>
        <v>167</v>
      </c>
      <c r="E12" s="6" t="n">
        <f aca="false">Tabelle!P36</f>
        <v>39163</v>
      </c>
      <c r="F12" s="11" t="n">
        <f aca="false">Tabelle!P4</f>
        <v>300.960000000003</v>
      </c>
      <c r="G12" s="5"/>
      <c r="H12" s="20" t="n">
        <f aca="false">Tabelle!F121</f>
        <v>0.307</v>
      </c>
      <c r="I12" s="12" t="n">
        <f aca="false">F12*H12</f>
        <v>92.3947200000009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27</v>
      </c>
      <c r="D13" s="11" t="n">
        <f aca="false">Tabelle!P21</f>
        <v>313.3</v>
      </c>
      <c r="E13" s="6" t="n">
        <f aca="false">Tabelle!P37</f>
        <v>106394</v>
      </c>
      <c r="F13" s="11" t="n">
        <f aca="false">Tabelle!P5</f>
        <v>602.5</v>
      </c>
      <c r="G13" s="5"/>
      <c r="H13" s="20" t="n">
        <f aca="false">Tabelle!F122</f>
        <v>0.331</v>
      </c>
      <c r="I13" s="12" t="n">
        <f aca="false">F13*H13</f>
        <v>199.4275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27</v>
      </c>
      <c r="D14" s="11" t="n">
        <f aca="false">Tabelle!P22</f>
        <v>83.8</v>
      </c>
      <c r="E14" s="6" t="n">
        <f aca="false">Tabelle!P38</f>
        <v>33385</v>
      </c>
      <c r="F14" s="11" t="n">
        <f aca="false">Tabelle!P6</f>
        <v>255.759999999998</v>
      </c>
      <c r="G14" s="5"/>
      <c r="H14" s="20" t="n">
        <f aca="false">Tabelle!F123</f>
        <v>0.335</v>
      </c>
      <c r="I14" s="12" t="n">
        <f aca="false">F14*H14</f>
        <v>85.6795999999995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27</v>
      </c>
      <c r="D15" s="11" t="n">
        <f aca="false">Tabelle!P23</f>
        <v>164.4</v>
      </c>
      <c r="E15" s="6" t="n">
        <f aca="false">Tabelle!P39</f>
        <v>50236</v>
      </c>
      <c r="F15" s="11" t="n">
        <f aca="false">Tabelle!P7</f>
        <v>466.130000000001</v>
      </c>
      <c r="G15" s="5"/>
      <c r="H15" s="20" t="n">
        <f aca="false">Tabelle!F124</f>
        <v>0.334</v>
      </c>
      <c r="I15" s="12" t="n">
        <f aca="false">F15*H15</f>
        <v>155.68742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27</v>
      </c>
      <c r="D16" s="11" t="n">
        <f aca="false">Tabelle!P24</f>
        <v>67.3</v>
      </c>
      <c r="E16" s="6" t="n">
        <f aca="false">Tabelle!P40</f>
        <v>21941</v>
      </c>
      <c r="F16" s="11" t="n">
        <f aca="false">Tabelle!P8</f>
        <v>325.220000000001</v>
      </c>
      <c r="G16" s="5"/>
      <c r="H16" s="20" t="n">
        <f aca="false">Tabelle!F125</f>
        <v>0.286</v>
      </c>
      <c r="I16" s="12" t="n">
        <f aca="false">F16*H16</f>
        <v>93.0129200000003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27</v>
      </c>
      <c r="D17" s="11" t="n">
        <f aca="false">Tabelle!P25</f>
        <v>26.5</v>
      </c>
      <c r="E17" s="6" t="n">
        <f aca="false">Tabelle!P41</f>
        <v>9251</v>
      </c>
      <c r="F17" s="11" t="n">
        <f aca="false">Tabelle!P9</f>
        <v>83.3899999999994</v>
      </c>
      <c r="G17" s="5"/>
      <c r="H17" s="20" t="n">
        <f aca="false">Tabelle!F126</f>
        <v>0.2655</v>
      </c>
      <c r="I17" s="12" t="n">
        <f aca="false">F17*H17</f>
        <v>22.1400449999998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27</v>
      </c>
      <c r="D18" s="11" t="n">
        <f aca="false">Tabelle!P26</f>
        <v>122.3</v>
      </c>
      <c r="E18" s="6" t="n">
        <f aca="false">Tabelle!P42</f>
        <v>49539</v>
      </c>
      <c r="F18" s="11" t="n">
        <f aca="false">Tabelle!P10</f>
        <v>382.110000000001</v>
      </c>
      <c r="G18" s="5"/>
      <c r="H18" s="20" t="n">
        <f aca="false">Tabelle!F127</f>
        <v>0.2575</v>
      </c>
      <c r="I18" s="12" t="n">
        <f aca="false">F18*H18</f>
        <v>98.3933250000002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27</v>
      </c>
      <c r="D19" s="11" t="n">
        <f aca="false">Tabelle!P27</f>
        <v>257.3</v>
      </c>
      <c r="E19" s="6" t="n">
        <f aca="false">Tabelle!P43</f>
        <v>96390</v>
      </c>
      <c r="F19" s="11" t="n">
        <f aca="false">Tabelle!P11</f>
        <v>583.360000000001</v>
      </c>
      <c r="G19" s="5"/>
      <c r="H19" s="20" t="n">
        <f aca="false">Tabelle!F128</f>
        <v>0.355</v>
      </c>
      <c r="I19" s="12" t="n">
        <f aca="false">F19*H19</f>
        <v>207.0928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27</v>
      </c>
      <c r="D20" s="11" t="n">
        <f aca="false">Tabelle!P28</f>
        <v>82</v>
      </c>
      <c r="E20" s="6" t="n">
        <f aca="false">Tabelle!P44</f>
        <v>24626</v>
      </c>
      <c r="F20" s="11" t="n">
        <f aca="false">Tabelle!P12</f>
        <v>296.830000000002</v>
      </c>
      <c r="G20" s="5"/>
      <c r="H20" s="20" t="n">
        <f aca="false">Tabelle!F129</f>
        <v>0.296</v>
      </c>
      <c r="I20" s="12" t="n">
        <f aca="false">F20*H20</f>
        <v>87.8616800000005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27</v>
      </c>
      <c r="D21" s="11" t="n">
        <f aca="false">Tabelle!P29</f>
        <v>58.05</v>
      </c>
      <c r="E21" s="6" t="n">
        <f aca="false">Tabelle!P45</f>
        <v>18480</v>
      </c>
      <c r="F21" s="11" t="n">
        <f aca="false">Tabelle!P13</f>
        <v>152.790000000001</v>
      </c>
      <c r="G21" s="5"/>
      <c r="H21" s="20" t="n">
        <f aca="false">Tabelle!F130</f>
        <v>0.3268</v>
      </c>
      <c r="I21" s="12" t="n">
        <f aca="false">F21*H21</f>
        <v>49.9317720000003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27</v>
      </c>
      <c r="D22" s="11" t="n">
        <f aca="false">Tabelle!P30</f>
        <v>157.72</v>
      </c>
      <c r="E22" s="6" t="n">
        <f aca="false">Tabelle!P46</f>
        <v>48778</v>
      </c>
      <c r="F22" s="11" t="n">
        <f aca="false">Tabelle!P14</f>
        <v>450.66</v>
      </c>
      <c r="G22" s="5"/>
      <c r="H22" s="20" t="n">
        <f aca="false">Tabelle!F131</f>
        <v>0.2732</v>
      </c>
      <c r="I22" s="12" t="n">
        <f aca="false">F22*H22</f>
        <v>123.120312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27</v>
      </c>
      <c r="D23" s="11" t="n">
        <f aca="false">Tabelle!P31</f>
        <v>48.67</v>
      </c>
      <c r="E23" s="6" t="n">
        <f aca="false">Tabelle!P47</f>
        <v>22306</v>
      </c>
      <c r="F23" s="11" t="n">
        <f aca="false">Tabelle!P15</f>
        <v>433.919999999998</v>
      </c>
      <c r="G23" s="5"/>
      <c r="H23" s="20" t="n">
        <f aca="false">Tabelle!F132</f>
        <v>0.2134</v>
      </c>
      <c r="I23" s="12" t="n">
        <f aca="false">F23*H23</f>
        <v>92.5985279999996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27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27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32" width="9.14"/>
    <col collapsed="false" customWidth="true" hidden="false" outlineLevel="0" max="3" min="3" style="32" width="19.57"/>
    <col collapsed="false" customWidth="true" hidden="false" outlineLevel="0" max="4" min="4" style="32" width="23.72"/>
    <col collapsed="false" customWidth="true" hidden="false" outlineLevel="0" max="5" min="5" style="32" width="13.43"/>
    <col collapsed="false" customWidth="false" hidden="false" outlineLevel="0" max="7" min="6" style="32" width="9.14"/>
    <col collapsed="false" customWidth="true" hidden="false" outlineLevel="0" max="8" min="8" style="32" width="12.86"/>
    <col collapsed="false" customWidth="true" hidden="false" outlineLevel="0" max="9" min="9" style="32" width="14.57"/>
    <col collapsed="false" customWidth="true" hidden="false" outlineLevel="0" max="10" min="10" style="32" width="21.29"/>
    <col collapsed="false" customWidth="true" hidden="false" outlineLevel="0" max="11" min="11" style="32" width="24.14"/>
    <col collapsed="false" customWidth="false" hidden="false" outlineLevel="0" max="16384" min="12" style="32" width="9.14"/>
  </cols>
  <sheetData>
    <row r="1" customFormat="false" ht="15" hidden="false" customHeight="false" outlineLevel="0" collapsed="false">
      <c r="A1" s="33" t="s">
        <v>41</v>
      </c>
      <c r="B1" s="33" t="s">
        <v>42</v>
      </c>
      <c r="C1" s="33" t="s">
        <v>43</v>
      </c>
      <c r="D1" s="34" t="s">
        <v>44</v>
      </c>
      <c r="E1" s="34" t="s">
        <v>45</v>
      </c>
      <c r="F1" s="34" t="s">
        <v>46</v>
      </c>
      <c r="G1" s="34" t="s">
        <v>47</v>
      </c>
      <c r="H1" s="34" t="s">
        <v>48</v>
      </c>
      <c r="I1" s="34" t="s">
        <v>49</v>
      </c>
      <c r="J1" s="17" t="s">
        <v>50</v>
      </c>
      <c r="K1" s="17" t="s">
        <v>51</v>
      </c>
    </row>
    <row r="2" customFormat="false" ht="15" hidden="false" customHeight="false" outlineLevel="0" collapsed="false">
      <c r="A2" s="35" t="n">
        <v>2024</v>
      </c>
      <c r="B2" s="35" t="n">
        <v>1</v>
      </c>
      <c r="C2" s="6" t="s">
        <v>28</v>
      </c>
      <c r="D2" s="6" t="n">
        <v>32.47</v>
      </c>
      <c r="E2" s="6" t="n">
        <v>11214</v>
      </c>
      <c r="F2" s="6"/>
      <c r="G2" s="6"/>
      <c r="H2" s="36" t="n">
        <f aca="false">Tabelle!F111</f>
        <v>0.2557</v>
      </c>
      <c r="I2" s="6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35" t="n">
        <v>2024</v>
      </c>
      <c r="B3" s="35" t="n">
        <v>2</v>
      </c>
      <c r="C3" s="6" t="s">
        <v>28</v>
      </c>
      <c r="D3" s="6" t="n">
        <v>89.87</v>
      </c>
      <c r="E3" s="6" t="n">
        <v>35840</v>
      </c>
      <c r="F3" s="6"/>
      <c r="G3" s="6"/>
      <c r="H3" s="36" t="n">
        <f aca="false">Tabelle!F112</f>
        <v>0.2378</v>
      </c>
      <c r="I3" s="6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35" t="n">
        <v>2024</v>
      </c>
      <c r="B4" s="35" t="n">
        <v>3</v>
      </c>
      <c r="C4" s="6" t="s">
        <v>28</v>
      </c>
      <c r="D4" s="6" t="n">
        <v>8.01</v>
      </c>
      <c r="E4" s="6" t="n">
        <v>5376</v>
      </c>
      <c r="F4" s="6"/>
      <c r="G4" s="6"/>
      <c r="H4" s="36" t="n">
        <f aca="false">Tabelle!F113</f>
        <v>0.2428</v>
      </c>
      <c r="I4" s="6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35" t="n">
        <v>2024</v>
      </c>
      <c r="B5" s="35" t="n">
        <v>4</v>
      </c>
      <c r="C5" s="6" t="s">
        <v>28</v>
      </c>
      <c r="D5" s="6" t="n">
        <v>60.16</v>
      </c>
      <c r="E5" s="6" t="n">
        <v>20237</v>
      </c>
      <c r="F5" s="6"/>
      <c r="G5" s="6"/>
      <c r="H5" s="36" t="n">
        <f aca="false">Tabelle!F114</f>
        <v>0.2416</v>
      </c>
      <c r="I5" s="6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35" t="n">
        <v>2024</v>
      </c>
      <c r="B6" s="35" t="n">
        <v>5</v>
      </c>
      <c r="C6" s="6" t="s">
        <v>28</v>
      </c>
      <c r="D6" s="6" t="n">
        <v>32.22</v>
      </c>
      <c r="E6" s="6" t="n">
        <v>12170</v>
      </c>
      <c r="F6" s="6"/>
      <c r="G6" s="6"/>
      <c r="H6" s="36" t="n">
        <f aca="false">Tabelle!F115</f>
        <v>0.2507</v>
      </c>
      <c r="I6" s="6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35" t="n">
        <v>2024</v>
      </c>
      <c r="B7" s="35" t="n">
        <v>6</v>
      </c>
      <c r="C7" s="6" t="s">
        <v>28</v>
      </c>
      <c r="D7" s="6" t="n">
        <v>27.62</v>
      </c>
      <c r="E7" s="6" t="n">
        <v>11200</v>
      </c>
      <c r="F7" s="6"/>
      <c r="G7" s="6"/>
      <c r="H7" s="36" t="n">
        <f aca="false">Tabelle!F116</f>
        <v>0.2722</v>
      </c>
      <c r="I7" s="6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35" t="n">
        <v>2024</v>
      </c>
      <c r="B8" s="35" t="n">
        <v>7</v>
      </c>
      <c r="C8" s="6" t="s">
        <v>28</v>
      </c>
      <c r="D8" s="6" t="n">
        <v>201.4</v>
      </c>
      <c r="E8" s="6" t="n">
        <v>81760</v>
      </c>
      <c r="F8" s="6"/>
      <c r="G8" s="6"/>
      <c r="H8" s="36" t="n">
        <f aca="false">Tabelle!F117</f>
        <v>0.287</v>
      </c>
      <c r="I8" s="6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35" t="n">
        <v>2024</v>
      </c>
      <c r="B9" s="35" t="n">
        <v>8</v>
      </c>
      <c r="C9" s="6" t="s">
        <v>28</v>
      </c>
      <c r="D9" s="6" t="n">
        <v>149.7</v>
      </c>
      <c r="E9" s="6" t="n">
        <v>9756</v>
      </c>
      <c r="F9" s="6"/>
      <c r="G9" s="6"/>
      <c r="H9" s="36" t="n">
        <f aca="false">Tabelle!F118</f>
        <v>0.3047</v>
      </c>
      <c r="I9" s="6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35" t="n">
        <v>2024</v>
      </c>
      <c r="B10" s="35" t="n">
        <v>9</v>
      </c>
      <c r="C10" s="6" t="s">
        <v>28</v>
      </c>
      <c r="D10" s="6" t="n">
        <v>39.27</v>
      </c>
      <c r="E10" s="6" t="n">
        <v>10745</v>
      </c>
      <c r="F10" s="6"/>
      <c r="G10" s="6"/>
      <c r="H10" s="36" t="n">
        <f aca="false">Tabelle!F119</f>
        <v>0.2904</v>
      </c>
      <c r="I10" s="6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35" t="n">
        <v>2024</v>
      </c>
      <c r="B11" s="35" t="n">
        <v>10</v>
      </c>
      <c r="C11" s="6" t="s">
        <v>28</v>
      </c>
      <c r="D11" s="6" t="n">
        <v>105.75</v>
      </c>
      <c r="E11" s="9" t="n">
        <v>31310</v>
      </c>
      <c r="F11" s="6"/>
      <c r="G11" s="6"/>
      <c r="H11" s="36" t="n">
        <f aca="false">Tabelle!F120</f>
        <v>0.2856</v>
      </c>
      <c r="I11" s="6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35" t="n">
        <v>2024</v>
      </c>
      <c r="B12" s="35" t="n">
        <v>11</v>
      </c>
      <c r="C12" s="6" t="s">
        <v>28</v>
      </c>
      <c r="D12" s="10" t="n">
        <f aca="false">Tabelle!Q20</f>
        <v>170.5</v>
      </c>
      <c r="E12" s="6" t="n">
        <f aca="false">Tabelle!Q36</f>
        <v>20105</v>
      </c>
      <c r="F12" s="10" t="n">
        <f aca="false">Tabelle!Q4</f>
        <v>1071.04</v>
      </c>
      <c r="G12" s="6"/>
      <c r="H12" s="36" t="n">
        <f aca="false">Tabelle!F121</f>
        <v>0.307</v>
      </c>
      <c r="I12" s="12" t="n">
        <f aca="false">F12*H12</f>
        <v>328.80928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35" t="n">
        <v>2024</v>
      </c>
      <c r="B13" s="35" t="n">
        <v>12</v>
      </c>
      <c r="C13" s="6" t="s">
        <v>28</v>
      </c>
      <c r="D13" s="10" t="n">
        <f aca="false">Tabelle!Q21</f>
        <v>54.1</v>
      </c>
      <c r="E13" s="6" t="n">
        <f aca="false">Tabelle!Q37</f>
        <v>18252</v>
      </c>
      <c r="F13" s="10" t="n">
        <f aca="false">Tabelle!Q5</f>
        <v>888.67</v>
      </c>
      <c r="G13" s="6"/>
      <c r="H13" s="36" t="n">
        <f aca="false">Tabelle!F122</f>
        <v>0.331</v>
      </c>
      <c r="I13" s="12" t="n">
        <f aca="false">F13*H13</f>
        <v>294.14977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37" t="n">
        <v>2025</v>
      </c>
      <c r="B14" s="37" t="n">
        <v>1</v>
      </c>
      <c r="C14" s="6" t="s">
        <v>28</v>
      </c>
      <c r="D14" s="10" t="n">
        <f aca="false">Tabelle!Q22</f>
        <v>106.1</v>
      </c>
      <c r="E14" s="6" t="n">
        <f aca="false">Tabelle!Q38</f>
        <v>40745</v>
      </c>
      <c r="F14" s="10" t="n">
        <f aca="false">Tabelle!Q6</f>
        <v>1432.46</v>
      </c>
      <c r="G14" s="6"/>
      <c r="H14" s="36" t="n">
        <f aca="false">Tabelle!F123</f>
        <v>0.335</v>
      </c>
      <c r="I14" s="12" t="n">
        <f aca="false">F14*H14</f>
        <v>479.8741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37" t="n">
        <v>2025</v>
      </c>
      <c r="B15" s="37" t="n">
        <v>2</v>
      </c>
      <c r="C15" s="6" t="s">
        <v>28</v>
      </c>
      <c r="D15" s="10" t="n">
        <f aca="false">Tabelle!Q23</f>
        <v>58.3</v>
      </c>
      <c r="E15" s="6" t="n">
        <f aca="false">Tabelle!Q39</f>
        <v>23470</v>
      </c>
      <c r="F15" s="10" t="n">
        <f aca="false">Tabelle!Q7</f>
        <v>1260.74</v>
      </c>
      <c r="G15" s="6"/>
      <c r="H15" s="36" t="n">
        <f aca="false">Tabelle!F124</f>
        <v>0.334</v>
      </c>
      <c r="I15" s="12" t="n">
        <f aca="false">F15*H15</f>
        <v>421.08716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37" t="n">
        <v>2025</v>
      </c>
      <c r="B16" s="37" t="n">
        <v>3</v>
      </c>
      <c r="C16" s="6" t="s">
        <v>28</v>
      </c>
      <c r="D16" s="10" t="n">
        <f aca="false">Tabelle!Q24</f>
        <v>117</v>
      </c>
      <c r="E16" s="6" t="n">
        <f aca="false">Tabelle!Q40</f>
        <v>43809</v>
      </c>
      <c r="F16" s="10" t="n">
        <f aca="false">Tabelle!Q8</f>
        <v>1940.01</v>
      </c>
      <c r="G16" s="6"/>
      <c r="H16" s="36" t="n">
        <f aca="false">Tabelle!F125</f>
        <v>0.286</v>
      </c>
      <c r="I16" s="12" t="n">
        <f aca="false">F16*H16</f>
        <v>554.84286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37" t="n">
        <v>2025</v>
      </c>
      <c r="B17" s="37" t="n">
        <v>4</v>
      </c>
      <c r="C17" s="6" t="s">
        <v>28</v>
      </c>
      <c r="D17" s="10" t="n">
        <f aca="false">Tabelle!Q25</f>
        <v>80.9</v>
      </c>
      <c r="E17" s="6" t="n">
        <f aca="false">Tabelle!Q41</f>
        <v>26090</v>
      </c>
      <c r="F17" s="10" t="n">
        <f aca="false">Tabelle!Q9</f>
        <v>1086.83</v>
      </c>
      <c r="G17" s="6"/>
      <c r="H17" s="36" t="n">
        <f aca="false">Tabelle!F126</f>
        <v>0.2655</v>
      </c>
      <c r="I17" s="12" t="n">
        <f aca="false">F17*H17</f>
        <v>288.553365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37" t="n">
        <v>2025</v>
      </c>
      <c r="B18" s="37" t="n">
        <v>5</v>
      </c>
      <c r="C18" s="6" t="s">
        <v>28</v>
      </c>
      <c r="D18" s="10" t="n">
        <f aca="false">Tabelle!Q26</f>
        <v>61.4</v>
      </c>
      <c r="E18" s="6" t="n">
        <f aca="false">Tabelle!Q42</f>
        <v>22280</v>
      </c>
      <c r="F18" s="10" t="n">
        <f aca="false">Tabelle!Q10</f>
        <v>923.16</v>
      </c>
      <c r="G18" s="6"/>
      <c r="H18" s="36" t="n">
        <f aca="false">Tabelle!F127</f>
        <v>0.2575</v>
      </c>
      <c r="I18" s="12" t="n">
        <f aca="false">F18*H18</f>
        <v>237.7137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37" t="n">
        <v>2025</v>
      </c>
      <c r="B19" s="37" t="n">
        <v>6</v>
      </c>
      <c r="C19" s="6" t="s">
        <v>28</v>
      </c>
      <c r="D19" s="10" t="n">
        <f aca="false">Tabelle!Q27</f>
        <v>118.2</v>
      </c>
      <c r="E19" s="6" t="n">
        <f aca="false">Tabelle!Q43</f>
        <v>53907</v>
      </c>
      <c r="F19" s="10" t="n">
        <f aca="false">Tabelle!Q11</f>
        <v>1403.14</v>
      </c>
      <c r="G19" s="6"/>
      <c r="H19" s="36" t="n">
        <f aca="false">Tabelle!F128</f>
        <v>0.355</v>
      </c>
      <c r="I19" s="12" t="n">
        <f aca="false">F19*H19</f>
        <v>498.1147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37" t="n">
        <v>2025</v>
      </c>
      <c r="B20" s="37" t="n">
        <v>7</v>
      </c>
      <c r="C20" s="6" t="s">
        <v>28</v>
      </c>
      <c r="D20" s="10" t="n">
        <f aca="false">Tabelle!Q28</f>
        <v>107.8</v>
      </c>
      <c r="E20" s="6" t="n">
        <f aca="false">Tabelle!Q44</f>
        <v>41601</v>
      </c>
      <c r="F20" s="10" t="n">
        <f aca="false">Tabelle!Q12</f>
        <v>1518.73</v>
      </c>
      <c r="G20" s="6"/>
      <c r="H20" s="36" t="n">
        <f aca="false">Tabelle!F129</f>
        <v>0.296</v>
      </c>
      <c r="I20" s="12" t="n">
        <f aca="false">F20*H20</f>
        <v>449.54408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37" t="n">
        <v>2025</v>
      </c>
      <c r="B21" s="37" t="n">
        <v>8</v>
      </c>
      <c r="C21" s="6" t="s">
        <v>28</v>
      </c>
      <c r="D21" s="10" t="n">
        <f aca="false">Tabelle!Q29</f>
        <v>70.04</v>
      </c>
      <c r="E21" s="6" t="n">
        <f aca="false">Tabelle!Q45</f>
        <v>32592</v>
      </c>
      <c r="F21" s="10" t="n">
        <f aca="false">Tabelle!Q13</f>
        <v>697.35</v>
      </c>
      <c r="G21" s="6"/>
      <c r="H21" s="36" t="n">
        <f aca="false">Tabelle!F130</f>
        <v>0.3268</v>
      </c>
      <c r="I21" s="6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37" t="n">
        <v>2025</v>
      </c>
      <c r="B22" s="37" t="n">
        <v>9</v>
      </c>
      <c r="C22" s="6" t="s">
        <v>28</v>
      </c>
      <c r="D22" s="10" t="n">
        <f aca="false">Tabelle!Q30</f>
        <v>245.35</v>
      </c>
      <c r="E22" s="6" t="n">
        <f aca="false">Tabelle!Q46</f>
        <v>114670</v>
      </c>
      <c r="F22" s="10" t="n">
        <f aca="false">Tabelle!Q14</f>
        <v>2729.53</v>
      </c>
      <c r="G22" s="6"/>
      <c r="H22" s="36" t="n">
        <f aca="false">Tabelle!F131</f>
        <v>0.2732</v>
      </c>
      <c r="I22" s="6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37" t="n">
        <v>2025</v>
      </c>
      <c r="B23" s="37" t="n">
        <v>10</v>
      </c>
      <c r="C23" s="6" t="s">
        <v>28</v>
      </c>
      <c r="D23" s="10" t="n">
        <f aca="false">Tabelle!Q31</f>
        <v>39.54</v>
      </c>
      <c r="E23" s="6" t="n">
        <f aca="false">Tabelle!Q47</f>
        <v>14168</v>
      </c>
      <c r="F23" s="10" t="n">
        <f aca="false">Tabelle!Q15</f>
        <v>1593.54</v>
      </c>
      <c r="G23" s="6"/>
      <c r="H23" s="36" t="n">
        <f aca="false">Tabelle!F132</f>
        <v>0.2134</v>
      </c>
      <c r="I23" s="6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37" t="n">
        <v>2025</v>
      </c>
      <c r="B24" s="37" t="n">
        <v>11</v>
      </c>
      <c r="C24" s="6" t="s">
        <v>28</v>
      </c>
      <c r="D24" s="6"/>
      <c r="E24" s="6"/>
      <c r="F24" s="6"/>
      <c r="G24" s="6"/>
      <c r="H24" s="36" t="n">
        <f aca="false">Tabelle!F133</f>
        <v>0.2261</v>
      </c>
      <c r="I24" s="6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37" t="n">
        <v>2025</v>
      </c>
      <c r="B25" s="37" t="n">
        <v>12</v>
      </c>
      <c r="C25" s="6" t="s">
        <v>28</v>
      </c>
      <c r="D25" s="6"/>
      <c r="E25" s="6"/>
      <c r="F25" s="6"/>
      <c r="G25" s="6"/>
      <c r="H25" s="36" t="n">
        <f aca="false">Tabelle!F134</f>
        <v>0</v>
      </c>
      <c r="I25" s="6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29</v>
      </c>
      <c r="D2" s="6" t="n">
        <v>0</v>
      </c>
      <c r="E2" s="6" t="n">
        <v>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29</v>
      </c>
      <c r="D3" s="6" t="n">
        <v>107.8</v>
      </c>
      <c r="E3" s="6" t="n">
        <v>35872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29</v>
      </c>
      <c r="D4" s="6" t="n">
        <v>0</v>
      </c>
      <c r="E4" s="6" t="n">
        <v>1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29</v>
      </c>
      <c r="D5" s="6" t="n">
        <v>47.6</v>
      </c>
      <c r="E5" s="6" t="n">
        <v>10590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29</v>
      </c>
      <c r="D6" s="6" t="n">
        <v>122.14</v>
      </c>
      <c r="E6" s="6" t="n">
        <v>43830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29</v>
      </c>
      <c r="D7" s="6" t="n">
        <v>37.02</v>
      </c>
      <c r="E7" s="6" t="n">
        <v>11150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29</v>
      </c>
      <c r="D8" s="6" t="n">
        <v>30.45</v>
      </c>
      <c r="E8" s="6" t="n">
        <v>10071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29</v>
      </c>
      <c r="D9" s="6" t="n">
        <v>39.08</v>
      </c>
      <c r="E9" s="6" t="n">
        <v>14982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29</v>
      </c>
      <c r="D10" s="6" t="n">
        <v>30.35</v>
      </c>
      <c r="E10" s="6" t="n">
        <v>11340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29</v>
      </c>
      <c r="D11" s="6" t="n">
        <v>108.29</v>
      </c>
      <c r="E11" s="9" t="n">
        <v>53551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29</v>
      </c>
      <c r="D12" s="10" t="n">
        <f aca="false">Tabelle!R20</f>
        <v>45.7</v>
      </c>
      <c r="E12" s="6" t="n">
        <f aca="false">Tabelle!R36</f>
        <v>16163</v>
      </c>
      <c r="F12" s="11" t="n">
        <f aca="false">Tabelle!R4</f>
        <v>934.72</v>
      </c>
      <c r="G12" s="5"/>
      <c r="H12" s="20" t="n">
        <f aca="false">Tabelle!F121</f>
        <v>0.307</v>
      </c>
      <c r="I12" s="12" t="n">
        <f aca="false">F12*H12</f>
        <v>286.95904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29</v>
      </c>
      <c r="D13" s="10" t="n">
        <f aca="false">Tabelle!R21</f>
        <v>21.1</v>
      </c>
      <c r="E13" s="6" t="n">
        <f aca="false">Tabelle!R37</f>
        <v>9100</v>
      </c>
      <c r="F13" s="11" t="n">
        <f aca="false">Tabelle!R5</f>
        <v>395.78</v>
      </c>
      <c r="G13" s="5"/>
      <c r="H13" s="20" t="n">
        <f aca="false">Tabelle!F122</f>
        <v>0.331</v>
      </c>
      <c r="I13" s="12" t="n">
        <f aca="false">F13*H13</f>
        <v>131.00318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29</v>
      </c>
      <c r="D14" s="10" t="n">
        <f aca="false">Tabelle!R22</f>
        <v>72.6</v>
      </c>
      <c r="E14" s="6" t="n">
        <f aca="false">Tabelle!R38</f>
        <v>20219</v>
      </c>
      <c r="F14" s="11" t="n">
        <f aca="false">Tabelle!R6</f>
        <v>1069.29</v>
      </c>
      <c r="G14" s="5"/>
      <c r="H14" s="20" t="n">
        <f aca="false">Tabelle!F123</f>
        <v>0.335</v>
      </c>
      <c r="I14" s="12" t="n">
        <f aca="false">F14*H14</f>
        <v>358.21215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29</v>
      </c>
      <c r="D15" s="10" t="n">
        <f aca="false">Tabelle!R23</f>
        <v>180.6</v>
      </c>
      <c r="E15" s="6" t="n">
        <f aca="false">Tabelle!R39</f>
        <v>29367</v>
      </c>
      <c r="F15" s="11" t="n">
        <f aca="false">Tabelle!R7</f>
        <v>1530.02</v>
      </c>
      <c r="G15" s="5"/>
      <c r="H15" s="20" t="n">
        <f aca="false">Tabelle!F124</f>
        <v>0.334</v>
      </c>
      <c r="I15" s="12" t="n">
        <f aca="false">F15*H15</f>
        <v>511.02668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29</v>
      </c>
      <c r="D16" s="10" t="n">
        <f aca="false">Tabelle!R24</f>
        <v>0</v>
      </c>
      <c r="E16" s="6" t="n">
        <f aca="false">Tabelle!R40</f>
        <v>0</v>
      </c>
      <c r="F16" s="11" t="n">
        <f aca="false">Tabelle!R8</f>
        <v>299.4</v>
      </c>
      <c r="G16" s="5"/>
      <c r="H16" s="20" t="n">
        <f aca="false">Tabelle!F125</f>
        <v>0.286</v>
      </c>
      <c r="I16" s="12" t="n">
        <f aca="false">F16*H16</f>
        <v>85.6283999999999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29</v>
      </c>
      <c r="D17" s="10" t="n">
        <f aca="false">Tabelle!R25</f>
        <v>0</v>
      </c>
      <c r="E17" s="6" t="n">
        <f aca="false">Tabelle!R41</f>
        <v>0</v>
      </c>
      <c r="F17" s="11" t="n">
        <f aca="false">Tabelle!R9</f>
        <v>83.3699999999999</v>
      </c>
      <c r="G17" s="5"/>
      <c r="H17" s="20" t="n">
        <f aca="false">Tabelle!F126</f>
        <v>0.2655</v>
      </c>
      <c r="I17" s="12" t="n">
        <f aca="false">F17*H17</f>
        <v>22.134735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29</v>
      </c>
      <c r="D18" s="10" t="n">
        <f aca="false">Tabelle!R26</f>
        <v>0</v>
      </c>
      <c r="E18" s="6" t="n">
        <f aca="false">Tabelle!R42</f>
        <v>0</v>
      </c>
      <c r="F18" s="11" t="n">
        <f aca="false">Tabelle!R10</f>
        <v>64.6999999999998</v>
      </c>
      <c r="G18" s="5"/>
      <c r="H18" s="20" t="n">
        <f aca="false">Tabelle!F127</f>
        <v>0.2575</v>
      </c>
      <c r="I18" s="12" t="n">
        <f aca="false">F18*H18</f>
        <v>16.66025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29</v>
      </c>
      <c r="D19" s="10" t="n">
        <f aca="false">Tabelle!R27</f>
        <v>0</v>
      </c>
      <c r="E19" s="6" t="n">
        <f aca="false">Tabelle!R43</f>
        <v>0</v>
      </c>
      <c r="F19" s="11" t="n">
        <f aca="false">Tabelle!R11</f>
        <v>42.1300000000001</v>
      </c>
      <c r="G19" s="5"/>
      <c r="H19" s="20" t="n">
        <f aca="false">Tabelle!F128</f>
        <v>0.355</v>
      </c>
      <c r="I19" s="12" t="n">
        <f aca="false">F19*H19</f>
        <v>14.95615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29</v>
      </c>
      <c r="D20" s="10" t="n">
        <f aca="false">Tabelle!R28</f>
        <v>0</v>
      </c>
      <c r="E20" s="6" t="n">
        <f aca="false">Tabelle!R44</f>
        <v>0</v>
      </c>
      <c r="F20" s="11" t="n">
        <f aca="false">Tabelle!R12</f>
        <v>53.3999999999996</v>
      </c>
      <c r="G20" s="5"/>
      <c r="H20" s="20" t="n">
        <f aca="false">Tabelle!F129</f>
        <v>0.296</v>
      </c>
      <c r="I20" s="12" t="n">
        <f aca="false">F20*H20</f>
        <v>15.8063999999999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29</v>
      </c>
      <c r="D21" s="10" t="n">
        <f aca="false">Tabelle!R29</f>
        <v>0</v>
      </c>
      <c r="E21" s="6" t="n">
        <f aca="false">Tabelle!R45</f>
        <v>0</v>
      </c>
      <c r="F21" s="11" t="n">
        <f aca="false">Tabelle!R13</f>
        <v>19.6300000000001</v>
      </c>
      <c r="G21" s="5"/>
      <c r="H21" s="20" t="n">
        <f aca="false">Tabelle!F130</f>
        <v>0.3268</v>
      </c>
      <c r="I21" s="5"/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29</v>
      </c>
      <c r="D22" s="10" t="n">
        <f aca="false">Tabelle!R30</f>
        <v>18.71</v>
      </c>
      <c r="E22" s="6" t="n">
        <f aca="false">Tabelle!R46</f>
        <v>5980</v>
      </c>
      <c r="F22" s="11" t="n">
        <f aca="false">Tabelle!R14</f>
        <v>533.69</v>
      </c>
      <c r="G22" s="5"/>
      <c r="H22" s="20" t="n">
        <f aca="false">Tabelle!F131</f>
        <v>0.2732</v>
      </c>
      <c r="I22" s="5"/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29</v>
      </c>
      <c r="D23" s="10" t="n">
        <f aca="false">Tabelle!R31</f>
        <v>10.44</v>
      </c>
      <c r="E23" s="6" t="n">
        <f aca="false">Tabelle!R47</f>
        <v>2284</v>
      </c>
      <c r="F23" s="11" t="n">
        <f aca="false">Tabelle!R15</f>
        <v>1456.08</v>
      </c>
      <c r="G23" s="5"/>
      <c r="H23" s="20" t="n">
        <f aca="false">Tabelle!F132</f>
        <v>0.2134</v>
      </c>
      <c r="I23" s="5"/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29</v>
      </c>
      <c r="D24" s="6"/>
      <c r="E24" s="6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29</v>
      </c>
      <c r="D25" s="6"/>
      <c r="E25" s="6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2" min="1" style="32" width="9.14"/>
    <col collapsed="false" customWidth="true" hidden="false" outlineLevel="0" max="3" min="3" style="32" width="19.57"/>
    <col collapsed="false" customWidth="true" hidden="false" outlineLevel="0" max="4" min="4" style="32" width="23.72"/>
    <col collapsed="false" customWidth="true" hidden="false" outlineLevel="0" max="5" min="5" style="32" width="13.43"/>
    <col collapsed="false" customWidth="false" hidden="false" outlineLevel="0" max="7" min="6" style="32" width="9.14"/>
    <col collapsed="false" customWidth="true" hidden="false" outlineLevel="0" max="8" min="8" style="32" width="12.86"/>
    <col collapsed="false" customWidth="true" hidden="false" outlineLevel="0" max="9" min="9" style="32" width="14.57"/>
    <col collapsed="false" customWidth="true" hidden="false" outlineLevel="0" max="10" min="10" style="32" width="21.29"/>
    <col collapsed="false" customWidth="true" hidden="false" outlineLevel="0" max="11" min="11" style="32" width="24.14"/>
    <col collapsed="false" customWidth="false" hidden="false" outlineLevel="0" max="16384" min="12" style="32" width="9.14"/>
  </cols>
  <sheetData>
    <row r="1" customFormat="false" ht="15" hidden="false" customHeight="false" outlineLevel="0" collapsed="false">
      <c r="A1" s="33" t="s">
        <v>41</v>
      </c>
      <c r="B1" s="33" t="s">
        <v>42</v>
      </c>
      <c r="C1" s="33" t="s">
        <v>43</v>
      </c>
      <c r="D1" s="34" t="s">
        <v>44</v>
      </c>
      <c r="E1" s="34" t="s">
        <v>45</v>
      </c>
      <c r="F1" s="34" t="s">
        <v>46</v>
      </c>
      <c r="G1" s="34" t="s">
        <v>47</v>
      </c>
      <c r="H1" s="34" t="s">
        <v>48</v>
      </c>
      <c r="I1" s="34" t="s">
        <v>49</v>
      </c>
      <c r="J1" s="17" t="s">
        <v>50</v>
      </c>
      <c r="K1" s="17" t="s">
        <v>51</v>
      </c>
    </row>
    <row r="2" customFormat="false" ht="15" hidden="false" customHeight="false" outlineLevel="0" collapsed="false">
      <c r="A2" s="35" t="n">
        <v>2024</v>
      </c>
      <c r="B2" s="35" t="n">
        <v>1</v>
      </c>
      <c r="C2" s="6" t="s">
        <v>30</v>
      </c>
      <c r="D2" s="6" t="n">
        <v>0</v>
      </c>
      <c r="E2" s="6" t="n">
        <v>0</v>
      </c>
      <c r="F2" s="6"/>
      <c r="G2" s="6"/>
      <c r="H2" s="36" t="n">
        <f aca="false">Tabelle!F111</f>
        <v>0.2557</v>
      </c>
      <c r="I2" s="6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35" t="n">
        <v>2024</v>
      </c>
      <c r="B3" s="35" t="n">
        <v>2</v>
      </c>
      <c r="C3" s="6" t="s">
        <v>30</v>
      </c>
      <c r="D3" s="6" t="n">
        <v>25.11</v>
      </c>
      <c r="E3" s="6" t="n">
        <v>6018</v>
      </c>
      <c r="F3" s="6"/>
      <c r="G3" s="6"/>
      <c r="H3" s="36" t="n">
        <f aca="false">Tabelle!F112</f>
        <v>0.2378</v>
      </c>
      <c r="I3" s="6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35" t="n">
        <v>2024</v>
      </c>
      <c r="B4" s="35" t="n">
        <v>3</v>
      </c>
      <c r="C4" s="6" t="s">
        <v>30</v>
      </c>
      <c r="D4" s="6" t="n">
        <v>0</v>
      </c>
      <c r="E4" s="6" t="n">
        <v>0</v>
      </c>
      <c r="F4" s="6"/>
      <c r="G4" s="6"/>
      <c r="H4" s="36" t="n">
        <f aca="false">Tabelle!F113</f>
        <v>0.2428</v>
      </c>
      <c r="I4" s="6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35" t="n">
        <v>2024</v>
      </c>
      <c r="B5" s="35" t="n">
        <v>4</v>
      </c>
      <c r="C5" s="6" t="s">
        <v>30</v>
      </c>
      <c r="D5" s="6" t="n">
        <v>0</v>
      </c>
      <c r="E5" s="6" t="n">
        <v>180</v>
      </c>
      <c r="F5" s="6"/>
      <c r="G5" s="6"/>
      <c r="H5" s="36" t="n">
        <f aca="false">Tabelle!F114</f>
        <v>0.2416</v>
      </c>
      <c r="I5" s="6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35" t="n">
        <v>2024</v>
      </c>
      <c r="B6" s="35" t="n">
        <v>5</v>
      </c>
      <c r="C6" s="6" t="s">
        <v>30</v>
      </c>
      <c r="D6" s="6" t="n">
        <v>82.96</v>
      </c>
      <c r="E6" s="6" t="n">
        <v>16386</v>
      </c>
      <c r="F6" s="6"/>
      <c r="G6" s="6"/>
      <c r="H6" s="36" t="n">
        <f aca="false">Tabelle!F115</f>
        <v>0.2507</v>
      </c>
      <c r="I6" s="6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35" t="n">
        <v>2024</v>
      </c>
      <c r="B7" s="35" t="n">
        <v>6</v>
      </c>
      <c r="C7" s="6" t="s">
        <v>30</v>
      </c>
      <c r="D7" s="6" t="n">
        <v>62.68</v>
      </c>
      <c r="E7" s="6" t="n">
        <v>11200</v>
      </c>
      <c r="F7" s="6"/>
      <c r="G7" s="6"/>
      <c r="H7" s="36" t="n">
        <f aca="false">Tabelle!F116</f>
        <v>0.2722</v>
      </c>
      <c r="I7" s="6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35" t="n">
        <v>2024</v>
      </c>
      <c r="B8" s="35" t="n">
        <v>7</v>
      </c>
      <c r="C8" s="6" t="s">
        <v>30</v>
      </c>
      <c r="D8" s="6" t="n">
        <v>0</v>
      </c>
      <c r="E8" s="6" t="n">
        <v>30</v>
      </c>
      <c r="F8" s="6"/>
      <c r="G8" s="6"/>
      <c r="H8" s="36" t="n">
        <f aca="false">Tabelle!F117</f>
        <v>0.287</v>
      </c>
      <c r="I8" s="6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35" t="n">
        <v>2024</v>
      </c>
      <c r="B9" s="35" t="n">
        <v>8</v>
      </c>
      <c r="C9" s="6" t="s">
        <v>30</v>
      </c>
      <c r="D9" s="6" t="n">
        <v>29.47</v>
      </c>
      <c r="E9" s="6" t="n">
        <v>6543</v>
      </c>
      <c r="F9" s="6"/>
      <c r="G9" s="6"/>
      <c r="H9" s="36" t="n">
        <f aca="false">Tabelle!F118</f>
        <v>0.3047</v>
      </c>
      <c r="I9" s="6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35" t="n">
        <v>2024</v>
      </c>
      <c r="B10" s="35" t="n">
        <v>9</v>
      </c>
      <c r="C10" s="6" t="s">
        <v>30</v>
      </c>
      <c r="D10" s="6" t="n">
        <v>38.6</v>
      </c>
      <c r="E10" s="6" t="n">
        <v>10129</v>
      </c>
      <c r="F10" s="6"/>
      <c r="G10" s="6"/>
      <c r="H10" s="36" t="n">
        <f aca="false">Tabelle!F119</f>
        <v>0.2904</v>
      </c>
      <c r="I10" s="6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35" t="n">
        <v>2024</v>
      </c>
      <c r="B11" s="35" t="n">
        <v>10</v>
      </c>
      <c r="C11" s="6" t="s">
        <v>30</v>
      </c>
      <c r="D11" s="6" t="n">
        <v>18.75</v>
      </c>
      <c r="E11" s="9" t="n">
        <v>4893</v>
      </c>
      <c r="F11" s="6"/>
      <c r="G11" s="6"/>
      <c r="H11" s="36" t="n">
        <f aca="false">Tabelle!F120</f>
        <v>0.2856</v>
      </c>
      <c r="I11" s="6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35" t="n">
        <v>2024</v>
      </c>
      <c r="B12" s="35" t="n">
        <v>11</v>
      </c>
      <c r="C12" s="6" t="s">
        <v>30</v>
      </c>
      <c r="D12" s="10" t="n">
        <f aca="false">Tabelle!S20</f>
        <v>59.8</v>
      </c>
      <c r="E12" s="6" t="n">
        <f aca="false">Tabelle!S36</f>
        <v>13260</v>
      </c>
      <c r="F12" s="10" t="n">
        <f aca="false">Tabelle!S4</f>
        <v>466.64</v>
      </c>
      <c r="G12" s="6"/>
      <c r="H12" s="36" t="n">
        <f aca="false">Tabelle!F121</f>
        <v>0.307</v>
      </c>
      <c r="I12" s="12" t="n">
        <f aca="false">F12*H12</f>
        <v>143.25848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35" t="n">
        <v>2024</v>
      </c>
      <c r="B13" s="35" t="n">
        <v>12</v>
      </c>
      <c r="C13" s="6" t="s">
        <v>30</v>
      </c>
      <c r="D13" s="10" t="n">
        <f aca="false">Tabelle!S21</f>
        <v>28.8</v>
      </c>
      <c r="E13" s="6" t="n">
        <f aca="false">Tabelle!S37</f>
        <v>6188</v>
      </c>
      <c r="F13" s="10" t="n">
        <f aca="false">Tabelle!S5</f>
        <v>307.31</v>
      </c>
      <c r="G13" s="6"/>
      <c r="H13" s="36" t="n">
        <f aca="false">Tabelle!F122</f>
        <v>0.331</v>
      </c>
      <c r="I13" s="12" t="n">
        <f aca="false">F13*H13</f>
        <v>101.71961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37" t="n">
        <v>2025</v>
      </c>
      <c r="B14" s="37" t="n">
        <v>1</v>
      </c>
      <c r="C14" s="6" t="s">
        <v>30</v>
      </c>
      <c r="D14" s="10" t="n">
        <f aca="false">Tabelle!S22</f>
        <v>111.7</v>
      </c>
      <c r="E14" s="6" t="n">
        <f aca="false">Tabelle!S38</f>
        <v>25438</v>
      </c>
      <c r="F14" s="10" t="n">
        <f aca="false">Tabelle!S6</f>
        <v>788.06</v>
      </c>
      <c r="G14" s="6"/>
      <c r="H14" s="36" t="n">
        <f aca="false">Tabelle!F123</f>
        <v>0.335</v>
      </c>
      <c r="I14" s="12" t="n">
        <f aca="false">F14*H14</f>
        <v>264.0001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37" t="n">
        <v>2025</v>
      </c>
      <c r="B15" s="37" t="n">
        <v>2</v>
      </c>
      <c r="C15" s="6" t="s">
        <v>30</v>
      </c>
      <c r="D15" s="10" t="n">
        <f aca="false">Tabelle!S23</f>
        <v>18.1</v>
      </c>
      <c r="E15" s="6" t="n">
        <f aca="false">Tabelle!S39</f>
        <v>2223</v>
      </c>
      <c r="F15" s="10" t="n">
        <f aca="false">Tabelle!S7</f>
        <v>477.22</v>
      </c>
      <c r="G15" s="6"/>
      <c r="H15" s="36" t="n">
        <f aca="false">Tabelle!F124</f>
        <v>0.334</v>
      </c>
      <c r="I15" s="12" t="n">
        <f aca="false">F15*H15</f>
        <v>159.39148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37" t="n">
        <v>2025</v>
      </c>
      <c r="B16" s="37" t="n">
        <v>3</v>
      </c>
      <c r="C16" s="6" t="s">
        <v>30</v>
      </c>
      <c r="D16" s="10" t="n">
        <f aca="false">Tabelle!S24</f>
        <v>78.5</v>
      </c>
      <c r="E16" s="6" t="n">
        <f aca="false">Tabelle!S40</f>
        <v>11680</v>
      </c>
      <c r="F16" s="10" t="n">
        <f aca="false">Tabelle!S8</f>
        <v>934.26</v>
      </c>
      <c r="G16" s="6"/>
      <c r="H16" s="36" t="n">
        <f aca="false">Tabelle!F125</f>
        <v>0.286</v>
      </c>
      <c r="I16" s="12" t="n">
        <f aca="false">F16*H16</f>
        <v>267.19836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37" t="n">
        <v>2025</v>
      </c>
      <c r="B17" s="37" t="n">
        <v>4</v>
      </c>
      <c r="C17" s="6" t="s">
        <v>30</v>
      </c>
      <c r="D17" s="10" t="n">
        <f aca="false">Tabelle!S25</f>
        <v>0</v>
      </c>
      <c r="E17" s="6" t="n">
        <f aca="false">Tabelle!S41</f>
        <v>1</v>
      </c>
      <c r="F17" s="10" t="n">
        <f aca="false">Tabelle!S9</f>
        <v>233.36</v>
      </c>
      <c r="G17" s="6"/>
      <c r="H17" s="36" t="n">
        <f aca="false">Tabelle!F126</f>
        <v>0.2655</v>
      </c>
      <c r="I17" s="12" t="n">
        <f aca="false">F17*H17</f>
        <v>61.95708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37" t="n">
        <v>2025</v>
      </c>
      <c r="B18" s="37" t="n">
        <v>5</v>
      </c>
      <c r="C18" s="6" t="s">
        <v>30</v>
      </c>
      <c r="D18" s="10" t="n">
        <f aca="false">Tabelle!S26</f>
        <v>53.8</v>
      </c>
      <c r="E18" s="6" t="n">
        <f aca="false">Tabelle!S42</f>
        <v>13306</v>
      </c>
      <c r="F18" s="10" t="n">
        <f aca="false">Tabelle!S10</f>
        <v>470.67</v>
      </c>
      <c r="G18" s="6"/>
      <c r="H18" s="36" t="n">
        <f aca="false">Tabelle!F127</f>
        <v>0.2575</v>
      </c>
      <c r="I18" s="12" t="n">
        <f aca="false">F18*H18</f>
        <v>121.197525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37" t="n">
        <v>2025</v>
      </c>
      <c r="B19" s="37" t="n">
        <v>6</v>
      </c>
      <c r="C19" s="6" t="s">
        <v>30</v>
      </c>
      <c r="D19" s="10" t="n">
        <f aca="false">Tabelle!S27</f>
        <v>10.6</v>
      </c>
      <c r="E19" s="6" t="n">
        <f aca="false">Tabelle!S43</f>
        <v>3176</v>
      </c>
      <c r="F19" s="10" t="n">
        <f aca="false">Tabelle!S11</f>
        <v>217.32</v>
      </c>
      <c r="G19" s="6"/>
      <c r="H19" s="36" t="n">
        <f aca="false">Tabelle!F128</f>
        <v>0.355</v>
      </c>
      <c r="I19" s="12" t="n">
        <f aca="false">F19*H19</f>
        <v>77.1486000000001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37" t="n">
        <v>2025</v>
      </c>
      <c r="B20" s="37" t="n">
        <v>7</v>
      </c>
      <c r="C20" s="6" t="s">
        <v>30</v>
      </c>
      <c r="D20" s="10" t="n">
        <f aca="false">Tabelle!S28</f>
        <v>52.3</v>
      </c>
      <c r="E20" s="6" t="n">
        <f aca="false">Tabelle!S44</f>
        <v>10511</v>
      </c>
      <c r="F20" s="10" t="n">
        <f aca="false">Tabelle!S12</f>
        <v>618.55</v>
      </c>
      <c r="G20" s="6"/>
      <c r="H20" s="36" t="n">
        <f aca="false">Tabelle!F129</f>
        <v>0.296</v>
      </c>
      <c r="I20" s="12" t="n">
        <f aca="false">F20*H20</f>
        <v>183.0908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37" t="n">
        <v>2025</v>
      </c>
      <c r="B21" s="37" t="n">
        <v>8</v>
      </c>
      <c r="C21" s="6" t="s">
        <v>30</v>
      </c>
      <c r="D21" s="10" t="n">
        <f aca="false">Tabelle!S29</f>
        <v>32.94</v>
      </c>
      <c r="E21" s="6" t="n">
        <f aca="false">Tabelle!S45</f>
        <v>6472</v>
      </c>
      <c r="F21" s="10" t="n">
        <f aca="false">Tabelle!S13</f>
        <v>312.66</v>
      </c>
      <c r="G21" s="6"/>
      <c r="H21" s="36" t="n">
        <f aca="false">Tabelle!F130</f>
        <v>0.3268</v>
      </c>
      <c r="I21" s="12" t="n">
        <f aca="false">F21*H21</f>
        <v>102.177288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37" t="n">
        <v>2025</v>
      </c>
      <c r="B22" s="37" t="n">
        <v>9</v>
      </c>
      <c r="C22" s="6" t="s">
        <v>30</v>
      </c>
      <c r="D22" s="10" t="n">
        <f aca="false">Tabelle!S30</f>
        <v>87.86</v>
      </c>
      <c r="E22" s="6" t="n">
        <f aca="false">Tabelle!S46</f>
        <v>16889</v>
      </c>
      <c r="F22" s="10" t="n">
        <f aca="false">Tabelle!S14</f>
        <v>841.55</v>
      </c>
      <c r="G22" s="6"/>
      <c r="H22" s="36" t="n">
        <f aca="false">Tabelle!F131</f>
        <v>0.2732</v>
      </c>
      <c r="I22" s="12" t="n">
        <f aca="false">F22*H22</f>
        <v>229.91146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37" t="n">
        <v>2025</v>
      </c>
      <c r="B23" s="37" t="n">
        <v>10</v>
      </c>
      <c r="C23" s="6" t="s">
        <v>30</v>
      </c>
      <c r="D23" s="10" t="n">
        <f aca="false">Tabelle!S31</f>
        <v>0</v>
      </c>
      <c r="E23" s="6" t="n">
        <f aca="false">Tabelle!S47</f>
        <v>0</v>
      </c>
      <c r="F23" s="10" t="n">
        <f aca="false">Tabelle!S15</f>
        <v>673.09</v>
      </c>
      <c r="G23" s="6"/>
      <c r="H23" s="36" t="n">
        <f aca="false">Tabelle!F132</f>
        <v>0.2134</v>
      </c>
      <c r="I23" s="12" t="n">
        <f aca="false">F23*H23</f>
        <v>143.637406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37" t="n">
        <v>2025</v>
      </c>
      <c r="B24" s="37" t="n">
        <v>11</v>
      </c>
      <c r="C24" s="6" t="s">
        <v>30</v>
      </c>
      <c r="D24" s="6"/>
      <c r="E24" s="6"/>
      <c r="F24" s="6"/>
      <c r="G24" s="6"/>
      <c r="H24" s="36" t="n">
        <f aca="false">Tabelle!F133</f>
        <v>0.2261</v>
      </c>
      <c r="I24" s="6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37" t="n">
        <v>2025</v>
      </c>
      <c r="B25" s="37" t="n">
        <v>12</v>
      </c>
      <c r="C25" s="6" t="s">
        <v>30</v>
      </c>
      <c r="D25" s="6"/>
      <c r="E25" s="6"/>
      <c r="F25" s="6"/>
      <c r="G25" s="6"/>
      <c r="H25" s="36" t="n">
        <f aca="false">Tabelle!F134</f>
        <v>0</v>
      </c>
      <c r="I25" s="6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31</v>
      </c>
      <c r="D2" s="6" t="n">
        <v>0</v>
      </c>
      <c r="E2" s="6" t="n">
        <v>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31</v>
      </c>
      <c r="D3" s="6" t="n">
        <v>0</v>
      </c>
      <c r="E3" s="6" t="n">
        <v>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31</v>
      </c>
      <c r="D4" s="6" t="n">
        <v>173.01</v>
      </c>
      <c r="E4" s="6" t="n">
        <v>23719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31</v>
      </c>
      <c r="D5" s="6" t="n">
        <v>106.12</v>
      </c>
      <c r="E5" s="6" t="n">
        <v>13699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31</v>
      </c>
      <c r="D6" s="6" t="n">
        <v>115.74</v>
      </c>
      <c r="E6" s="6" t="n">
        <v>16240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31</v>
      </c>
      <c r="D7" s="6" t="n">
        <v>90.61</v>
      </c>
      <c r="E7" s="6" t="n">
        <v>13345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31</v>
      </c>
      <c r="D8" s="6" t="n">
        <v>145.33</v>
      </c>
      <c r="E8" s="6" t="n">
        <v>22870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31</v>
      </c>
      <c r="D9" s="6" t="n">
        <v>21.28</v>
      </c>
      <c r="E9" s="6" t="n">
        <v>3600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31</v>
      </c>
      <c r="D10" s="6" t="n">
        <v>0</v>
      </c>
      <c r="E10" s="6" t="n">
        <v>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31</v>
      </c>
      <c r="D11" s="6" t="n">
        <v>67.45</v>
      </c>
      <c r="E11" s="9" t="n">
        <v>14522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31</v>
      </c>
      <c r="D12" s="11" t="n">
        <f aca="false">Tabelle!T20</f>
        <v>159.6</v>
      </c>
      <c r="E12" s="6" t="n">
        <f aca="false">Tabelle!T36</f>
        <v>18477</v>
      </c>
      <c r="F12" s="11" t="n">
        <f aca="false">Tabelle!T4</f>
        <v>1673.1</v>
      </c>
      <c r="G12" s="5"/>
      <c r="H12" s="20" t="n">
        <f aca="false">Tabelle!F121</f>
        <v>0.307</v>
      </c>
      <c r="I12" s="12" t="n">
        <f aca="false">F12*H12</f>
        <v>513.6417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31</v>
      </c>
      <c r="D13" s="11" t="n">
        <f aca="false">Tabelle!T21</f>
        <v>62.9</v>
      </c>
      <c r="E13" s="6" t="n">
        <f aca="false">Tabelle!T37</f>
        <v>21006</v>
      </c>
      <c r="F13" s="11" t="n">
        <f aca="false">Tabelle!T5</f>
        <v>892.37</v>
      </c>
      <c r="G13" s="5"/>
      <c r="H13" s="20" t="n">
        <f aca="false">Tabelle!F122</f>
        <v>0.331</v>
      </c>
      <c r="I13" s="12" t="n">
        <f aca="false">F13*H13</f>
        <v>295.37447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31</v>
      </c>
      <c r="D14" s="11" t="n">
        <f aca="false">Tabelle!T22</f>
        <v>141.2</v>
      </c>
      <c r="E14" s="6" t="n">
        <f aca="false">Tabelle!T38</f>
        <v>23440</v>
      </c>
      <c r="F14" s="11" t="n">
        <f aca="false">Tabelle!T6</f>
        <v>1509.09</v>
      </c>
      <c r="G14" s="5"/>
      <c r="H14" s="20" t="n">
        <f aca="false">Tabelle!F123</f>
        <v>0.335</v>
      </c>
      <c r="I14" s="12" t="n">
        <f aca="false">F14*H14</f>
        <v>505.54515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31</v>
      </c>
      <c r="D15" s="11" t="n">
        <f aca="false">Tabelle!T23</f>
        <v>202</v>
      </c>
      <c r="E15" s="6" t="n">
        <f aca="false">Tabelle!T39</f>
        <v>38160</v>
      </c>
      <c r="F15" s="11" t="n">
        <f aca="false">Tabelle!T7</f>
        <v>2323.88</v>
      </c>
      <c r="G15" s="5"/>
      <c r="H15" s="20" t="n">
        <f aca="false">Tabelle!F124</f>
        <v>0.334</v>
      </c>
      <c r="I15" s="12" t="n">
        <f aca="false">F15*H15</f>
        <v>776.17592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31</v>
      </c>
      <c r="D16" s="11" t="n">
        <f aca="false">Tabelle!T24</f>
        <v>115.5</v>
      </c>
      <c r="E16" s="6" t="n">
        <f aca="false">Tabelle!T40</f>
        <v>13390</v>
      </c>
      <c r="F16" s="11" t="n">
        <f aca="false">Tabelle!T8</f>
        <v>1366.18</v>
      </c>
      <c r="G16" s="5"/>
      <c r="H16" s="20" t="n">
        <f aca="false">Tabelle!F125</f>
        <v>0.286</v>
      </c>
      <c r="I16" s="12" t="n">
        <f aca="false">F16*H16</f>
        <v>390.72748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31</v>
      </c>
      <c r="D17" s="11" t="n">
        <f aca="false">Tabelle!T25</f>
        <v>48.3</v>
      </c>
      <c r="E17" s="6" t="n">
        <f aca="false">Tabelle!T41</f>
        <v>15990</v>
      </c>
      <c r="F17" s="11" t="n">
        <f aca="false">Tabelle!T9</f>
        <v>831.130000000001</v>
      </c>
      <c r="G17" s="5"/>
      <c r="H17" s="20" t="n">
        <f aca="false">Tabelle!F126</f>
        <v>0.2655</v>
      </c>
      <c r="I17" s="12" t="n">
        <f aca="false">F17*H17</f>
        <v>220.665015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31</v>
      </c>
      <c r="D18" s="11" t="n">
        <f aca="false">Tabelle!T26</f>
        <v>6.5</v>
      </c>
      <c r="E18" s="6" t="n">
        <f aca="false">Tabelle!T42</f>
        <v>6160</v>
      </c>
      <c r="F18" s="11" t="n">
        <f aca="false">Tabelle!T10</f>
        <v>320.41</v>
      </c>
      <c r="G18" s="5"/>
      <c r="H18" s="20" t="n">
        <f aca="false">Tabelle!F127</f>
        <v>0.2575</v>
      </c>
      <c r="I18" s="12" t="n">
        <f aca="false">F18*H18</f>
        <v>82.505575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31</v>
      </c>
      <c r="D19" s="11" t="n">
        <f aca="false">Tabelle!T27</f>
        <v>0</v>
      </c>
      <c r="E19" s="6" t="n">
        <f aca="false">Tabelle!T43</f>
        <v>0</v>
      </c>
      <c r="F19" s="11" t="n">
        <f aca="false">Tabelle!T11</f>
        <v>473.18</v>
      </c>
      <c r="G19" s="5"/>
      <c r="H19" s="20" t="n">
        <f aca="false">Tabelle!F128</f>
        <v>0.355</v>
      </c>
      <c r="I19" s="12" t="n">
        <f aca="false">F19*H19</f>
        <v>167.9789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31</v>
      </c>
      <c r="D20" s="11" t="n">
        <f aca="false">Tabelle!T28</f>
        <v>0</v>
      </c>
      <c r="E20" s="6" t="n">
        <f aca="false">Tabelle!T44</f>
        <v>0</v>
      </c>
      <c r="F20" s="11" t="n">
        <f aca="false">Tabelle!T12</f>
        <v>27.5900000000002</v>
      </c>
      <c r="G20" s="5"/>
      <c r="H20" s="20" t="n">
        <f aca="false">Tabelle!F129</f>
        <v>0.296</v>
      </c>
      <c r="I20" s="12" t="n">
        <f aca="false">F20*H20</f>
        <v>8.16664000000004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31</v>
      </c>
      <c r="D21" s="11" t="n">
        <f aca="false">Tabelle!T29</f>
        <v>17.82</v>
      </c>
      <c r="E21" s="6" t="n">
        <f aca="false">Tabelle!T45</f>
        <v>2126</v>
      </c>
      <c r="F21" s="11" t="n">
        <f aca="false">Tabelle!T13</f>
        <v>130.530000000001</v>
      </c>
      <c r="G21" s="5"/>
      <c r="H21" s="20" t="n">
        <f aca="false">Tabelle!F130</f>
        <v>0.3268</v>
      </c>
      <c r="I21" s="12" t="n">
        <f aca="false">F21*H21</f>
        <v>42.6572040000002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31</v>
      </c>
      <c r="D22" s="11" t="n">
        <f aca="false">Tabelle!T30</f>
        <v>68.19</v>
      </c>
      <c r="E22" s="6" t="n">
        <f aca="false">Tabelle!T46</f>
        <v>10152</v>
      </c>
      <c r="F22" s="11" t="n">
        <f aca="false">Tabelle!T14</f>
        <v>433.029999999999</v>
      </c>
      <c r="G22" s="5"/>
      <c r="H22" s="20" t="n">
        <f aca="false">Tabelle!F131</f>
        <v>0.2732</v>
      </c>
      <c r="I22" s="12" t="n">
        <f aca="false">F22*H22</f>
        <v>118.303796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31</v>
      </c>
      <c r="D23" s="11" t="n">
        <f aca="false">Tabelle!T31</f>
        <v>0</v>
      </c>
      <c r="E23" s="6" t="n">
        <f aca="false">Tabelle!T47</f>
        <v>0</v>
      </c>
      <c r="F23" s="11" t="n">
        <f aca="false">Tabelle!T15</f>
        <v>173.130000000001</v>
      </c>
      <c r="G23" s="5"/>
      <c r="H23" s="20" t="n">
        <f aca="false">Tabelle!F132</f>
        <v>0.2134</v>
      </c>
      <c r="I23" s="12" t="n">
        <f aca="false">F23*H23</f>
        <v>36.9459420000002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31</v>
      </c>
      <c r="D24" s="11"/>
      <c r="E24" s="6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31</v>
      </c>
      <c r="D25" s="11"/>
      <c r="E25" s="6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32</v>
      </c>
      <c r="D2" s="6" t="n">
        <v>43.99</v>
      </c>
      <c r="E2" s="6" t="n">
        <v>8052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32</v>
      </c>
      <c r="D3" s="6" t="n">
        <v>0</v>
      </c>
      <c r="E3" s="6" t="n">
        <v>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32</v>
      </c>
      <c r="D4" s="6" t="n">
        <v>30.36</v>
      </c>
      <c r="E4" s="6" t="n">
        <v>6072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32</v>
      </c>
      <c r="D5" s="6" t="n">
        <v>35.54</v>
      </c>
      <c r="E5" s="6" t="n">
        <v>6053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32</v>
      </c>
      <c r="D6" s="6" t="n">
        <v>48.19</v>
      </c>
      <c r="E6" s="6" t="n">
        <v>8980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32</v>
      </c>
      <c r="D7" s="6" t="n">
        <v>0</v>
      </c>
      <c r="E7" s="6" t="n">
        <v>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32</v>
      </c>
      <c r="D8" s="6" t="n">
        <v>0</v>
      </c>
      <c r="E8" s="6" t="n">
        <v>0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32</v>
      </c>
      <c r="D9" s="6" t="n">
        <v>0</v>
      </c>
      <c r="E9" s="6" t="n">
        <v>0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32</v>
      </c>
      <c r="D10" s="6" t="n">
        <v>0</v>
      </c>
      <c r="E10" s="6" t="n">
        <v>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32</v>
      </c>
      <c r="D11" s="6" t="n">
        <v>0</v>
      </c>
      <c r="E11" s="9" t="n">
        <v>0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32</v>
      </c>
      <c r="D12" s="11" t="n">
        <f aca="false">Tabelle!U20</f>
        <v>0</v>
      </c>
      <c r="E12" s="6" t="n">
        <f aca="false">Tabelle!U36</f>
        <v>0</v>
      </c>
      <c r="F12" s="11" t="n">
        <f aca="false">Tabelle!U4</f>
        <v>64.75</v>
      </c>
      <c r="G12" s="5"/>
      <c r="H12" s="20" t="n">
        <f aca="false">Tabelle!F121</f>
        <v>0.307</v>
      </c>
      <c r="I12" s="38" t="n">
        <f aca="false">F12*H12</f>
        <v>19.87825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32</v>
      </c>
      <c r="D13" s="11" t="n">
        <f aca="false">Tabelle!U21</f>
        <v>0</v>
      </c>
      <c r="E13" s="6" t="n">
        <f aca="false">Tabelle!U37</f>
        <v>0</v>
      </c>
      <c r="F13" s="11" t="n">
        <f aca="false">Tabelle!U5</f>
        <v>36.83</v>
      </c>
      <c r="G13" s="5"/>
      <c r="H13" s="20" t="n">
        <f aca="false">Tabelle!F122</f>
        <v>0.331</v>
      </c>
      <c r="I13" s="38" t="n">
        <f aca="false">F13*H13</f>
        <v>12.19073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32</v>
      </c>
      <c r="D14" s="11" t="n">
        <f aca="false">Tabelle!U22</f>
        <v>36.8</v>
      </c>
      <c r="E14" s="6" t="n">
        <f aca="false">Tabelle!U38</f>
        <v>16048</v>
      </c>
      <c r="F14" s="11" t="n">
        <f aca="false">Tabelle!U6</f>
        <v>1193.38</v>
      </c>
      <c r="G14" s="5"/>
      <c r="H14" s="20" t="n">
        <f aca="false">Tabelle!F123</f>
        <v>0.335</v>
      </c>
      <c r="I14" s="38" t="n">
        <f aca="false">F14*H14</f>
        <v>399.7823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32</v>
      </c>
      <c r="D15" s="11" t="n">
        <f aca="false">Tabelle!U23</f>
        <v>69.6</v>
      </c>
      <c r="E15" s="6" t="n">
        <f aca="false">Tabelle!U39</f>
        <v>28795</v>
      </c>
      <c r="F15" s="11" t="n">
        <f aca="false">Tabelle!U7</f>
        <v>1507.61</v>
      </c>
      <c r="G15" s="5"/>
      <c r="H15" s="20" t="n">
        <f aca="false">Tabelle!F124</f>
        <v>0.334</v>
      </c>
      <c r="I15" s="38" t="n">
        <f aca="false">F15*H15</f>
        <v>503.54174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32</v>
      </c>
      <c r="D16" s="11" t="n">
        <f aca="false">Tabelle!U24</f>
        <v>0</v>
      </c>
      <c r="E16" s="6" t="n">
        <f aca="false">Tabelle!U40</f>
        <v>0</v>
      </c>
      <c r="F16" s="11" t="n">
        <f aca="false">Tabelle!U8</f>
        <v>0</v>
      </c>
      <c r="G16" s="5"/>
      <c r="H16" s="20" t="n">
        <f aca="false">Tabelle!F125</f>
        <v>0.286</v>
      </c>
      <c r="I16" s="38" t="n">
        <f aca="false">F16*H16</f>
        <v>0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32</v>
      </c>
      <c r="D17" s="11" t="n">
        <f aca="false">Tabelle!U25</f>
        <v>0</v>
      </c>
      <c r="E17" s="6" t="n">
        <f aca="false">Tabelle!U41</f>
        <v>0</v>
      </c>
      <c r="F17" s="11" t="n">
        <f aca="false">Tabelle!U9</f>
        <v>0</v>
      </c>
      <c r="G17" s="5"/>
      <c r="H17" s="20" t="n">
        <f aca="false">Tabelle!F126</f>
        <v>0.2655</v>
      </c>
      <c r="I17" s="38" t="n">
        <f aca="false">F17*H17</f>
        <v>0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32</v>
      </c>
      <c r="D18" s="11" t="n">
        <f aca="false">Tabelle!U26</f>
        <v>0</v>
      </c>
      <c r="E18" s="6" t="n">
        <f aca="false">Tabelle!U42</f>
        <v>0</v>
      </c>
      <c r="F18" s="11" t="n">
        <f aca="false">Tabelle!U10</f>
        <v>0</v>
      </c>
      <c r="G18" s="5"/>
      <c r="H18" s="20" t="n">
        <f aca="false">Tabelle!F127</f>
        <v>0.2575</v>
      </c>
      <c r="I18" s="38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32</v>
      </c>
      <c r="D19" s="11" t="n">
        <f aca="false">Tabelle!U27</f>
        <v>0</v>
      </c>
      <c r="E19" s="6" t="n">
        <f aca="false">Tabelle!U43</f>
        <v>0</v>
      </c>
      <c r="F19" s="11" t="n">
        <f aca="false">Tabelle!U11</f>
        <v>0</v>
      </c>
      <c r="G19" s="5"/>
      <c r="H19" s="20" t="n">
        <f aca="false">Tabelle!F128</f>
        <v>0.355</v>
      </c>
      <c r="I19" s="38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32</v>
      </c>
      <c r="D20" s="11" t="n">
        <f aca="false">Tabelle!U28</f>
        <v>0</v>
      </c>
      <c r="E20" s="6" t="n">
        <f aca="false">Tabelle!U44</f>
        <v>0</v>
      </c>
      <c r="F20" s="11" t="n">
        <f aca="false">Tabelle!U12</f>
        <v>0</v>
      </c>
      <c r="G20" s="5"/>
      <c r="H20" s="20" t="n">
        <f aca="false">Tabelle!F129</f>
        <v>0.296</v>
      </c>
      <c r="I20" s="38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32</v>
      </c>
      <c r="D21" s="11" t="n">
        <f aca="false">Tabelle!U29</f>
        <v>0</v>
      </c>
      <c r="E21" s="6" t="n">
        <f aca="false">Tabelle!U45</f>
        <v>0</v>
      </c>
      <c r="F21" s="11" t="n">
        <f aca="false">Tabelle!U13</f>
        <v>0</v>
      </c>
      <c r="G21" s="5"/>
      <c r="H21" s="20" t="n">
        <f aca="false">Tabelle!F130</f>
        <v>0.3268</v>
      </c>
      <c r="I21" s="38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32</v>
      </c>
      <c r="D22" s="11" t="n">
        <f aca="false">Tabelle!U30</f>
        <v>0</v>
      </c>
      <c r="E22" s="6" t="n">
        <f aca="false">Tabelle!U46</f>
        <v>0</v>
      </c>
      <c r="F22" s="11" t="n">
        <f aca="false">Tabelle!U14</f>
        <v>0</v>
      </c>
      <c r="G22" s="5"/>
      <c r="H22" s="20" t="n">
        <f aca="false">Tabelle!F131</f>
        <v>0.2732</v>
      </c>
      <c r="I22" s="38" t="n">
        <f aca="false">F22*H22</f>
        <v>0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32</v>
      </c>
      <c r="D23" s="11" t="n">
        <f aca="false">Tabelle!U31</f>
        <v>0</v>
      </c>
      <c r="E23" s="6" t="n">
        <f aca="false">Tabelle!U47</f>
        <v>0</v>
      </c>
      <c r="F23" s="11" t="n">
        <f aca="false">Tabelle!U15</f>
        <v>0</v>
      </c>
      <c r="G23" s="5"/>
      <c r="H23" s="20" t="n">
        <f aca="false">Tabelle!F132</f>
        <v>0.2134</v>
      </c>
      <c r="I23" s="38" t="n">
        <f aca="false">F23*H23</f>
        <v>0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32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32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33</v>
      </c>
      <c r="D2" s="6" t="n">
        <v>24.19</v>
      </c>
      <c r="E2" s="6" t="n">
        <v>22000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33</v>
      </c>
      <c r="D3" s="6" t="n">
        <v>120.67</v>
      </c>
      <c r="E3" s="6" t="n">
        <v>80390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33</v>
      </c>
      <c r="D4" s="6" t="n">
        <v>108.02</v>
      </c>
      <c r="E4" s="6" t="n">
        <v>65908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33</v>
      </c>
      <c r="D5" s="6" t="n">
        <v>23.13</v>
      </c>
      <c r="E5" s="6" t="n">
        <v>14810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33</v>
      </c>
      <c r="D6" s="6" t="n">
        <v>27.31</v>
      </c>
      <c r="E6" s="6" t="n">
        <v>20716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33</v>
      </c>
      <c r="D7" s="6" t="n">
        <v>40.33</v>
      </c>
      <c r="E7" s="6" t="n">
        <v>31850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33</v>
      </c>
      <c r="D8" s="6" t="n">
        <v>62.54</v>
      </c>
      <c r="E8" s="6" t="n">
        <v>50800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33</v>
      </c>
      <c r="D9" s="6" t="n">
        <v>10.52</v>
      </c>
      <c r="E9" s="6" t="n">
        <v>7880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33</v>
      </c>
      <c r="D10" s="6" t="n">
        <v>149.08</v>
      </c>
      <c r="E10" s="6" t="n">
        <v>97414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33</v>
      </c>
      <c r="D11" s="6" t="n">
        <v>184.18</v>
      </c>
      <c r="E11" s="9" t="n">
        <v>155866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33</v>
      </c>
      <c r="D12" s="11" t="n">
        <f aca="false">Tabelle!V20</f>
        <v>219.3</v>
      </c>
      <c r="E12" s="6" t="n">
        <f aca="false">Tabelle!V36</f>
        <v>112802</v>
      </c>
      <c r="F12" s="11" t="n">
        <f aca="false">Tabelle!V4</f>
        <v>3279.01</v>
      </c>
      <c r="G12" s="5"/>
      <c r="H12" s="20" t="n">
        <f aca="false">Tabelle!F121</f>
        <v>0.307</v>
      </c>
      <c r="I12" s="12" t="n">
        <f aca="false">F12*H12</f>
        <v>1006.65607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33</v>
      </c>
      <c r="D13" s="11" t="n">
        <f aca="false">Tabelle!V21</f>
        <v>34</v>
      </c>
      <c r="E13" s="6" t="n">
        <f aca="false">Tabelle!V37</f>
        <v>23098</v>
      </c>
      <c r="F13" s="11" t="n">
        <f aca="false">Tabelle!V5</f>
        <v>837.75</v>
      </c>
      <c r="G13" s="5"/>
      <c r="H13" s="20" t="n">
        <f aca="false">Tabelle!F122</f>
        <v>0.331</v>
      </c>
      <c r="I13" s="12" t="n">
        <f aca="false">F13*H13</f>
        <v>277.29525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33</v>
      </c>
      <c r="D14" s="11" t="n">
        <f aca="false">Tabelle!V22</f>
        <v>0</v>
      </c>
      <c r="E14" s="6" t="n">
        <f aca="false">Tabelle!V38</f>
        <v>0</v>
      </c>
      <c r="F14" s="11" t="n">
        <f aca="false">Tabelle!V6</f>
        <v>104.89</v>
      </c>
      <c r="G14" s="5"/>
      <c r="H14" s="20" t="n">
        <f aca="false">Tabelle!F123</f>
        <v>0.335</v>
      </c>
      <c r="I14" s="12" t="n">
        <f aca="false">F14*H14</f>
        <v>35.1381500000001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33</v>
      </c>
      <c r="D15" s="11" t="n">
        <f aca="false">Tabelle!V23</f>
        <v>0</v>
      </c>
      <c r="E15" s="6" t="n">
        <f aca="false">Tabelle!V39</f>
        <v>0</v>
      </c>
      <c r="F15" s="11" t="n">
        <f aca="false">Tabelle!V7</f>
        <v>56.1799999999994</v>
      </c>
      <c r="G15" s="5"/>
      <c r="H15" s="20" t="n">
        <f aca="false">Tabelle!F124</f>
        <v>0.334</v>
      </c>
      <c r="I15" s="12" t="n">
        <f aca="false">F15*H15</f>
        <v>18.7641199999998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33</v>
      </c>
      <c r="D16" s="11" t="n">
        <f aca="false">Tabelle!V24</f>
        <v>0</v>
      </c>
      <c r="E16" s="6" t="n">
        <f aca="false">Tabelle!V40</f>
        <v>0</v>
      </c>
      <c r="F16" s="11" t="n">
        <f aca="false">Tabelle!V8</f>
        <v>0.869999999999891</v>
      </c>
      <c r="G16" s="5"/>
      <c r="H16" s="20" t="n">
        <f aca="false">Tabelle!F125</f>
        <v>0.286</v>
      </c>
      <c r="I16" s="12" t="n">
        <f aca="false">F16*H16</f>
        <v>0.248819999999969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33</v>
      </c>
      <c r="D17" s="11" t="n">
        <f aca="false">Tabelle!V25</f>
        <v>45.8</v>
      </c>
      <c r="E17" s="6" t="n">
        <f aca="false">Tabelle!V41</f>
        <v>25650</v>
      </c>
      <c r="F17" s="11" t="n">
        <f aca="false">Tabelle!V9</f>
        <v>1078.5</v>
      </c>
      <c r="G17" s="5"/>
      <c r="H17" s="20" t="n">
        <f aca="false">Tabelle!F126</f>
        <v>0.2655</v>
      </c>
      <c r="I17" s="12" t="n">
        <f aca="false">F17*H17</f>
        <v>286.34175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33</v>
      </c>
      <c r="D18" s="11" t="n">
        <f aca="false">Tabelle!V26</f>
        <v>0</v>
      </c>
      <c r="E18" s="6" t="n">
        <f aca="false">Tabelle!V42</f>
        <v>0</v>
      </c>
      <c r="F18" s="11" t="n">
        <f aca="false">Tabelle!V10</f>
        <v>0</v>
      </c>
      <c r="G18" s="5"/>
      <c r="H18" s="20" t="n">
        <f aca="false">Tabelle!F127</f>
        <v>0.2575</v>
      </c>
      <c r="I18" s="12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33</v>
      </c>
      <c r="D19" s="11" t="n">
        <f aca="false">Tabelle!V27</f>
        <v>25.7</v>
      </c>
      <c r="E19" s="6" t="n">
        <f aca="false">Tabelle!V43</f>
        <v>16860</v>
      </c>
      <c r="F19" s="11" t="n">
        <f aca="false">Tabelle!V11</f>
        <v>825.580000000001</v>
      </c>
      <c r="G19" s="5"/>
      <c r="H19" s="20" t="n">
        <f aca="false">Tabelle!F128</f>
        <v>0.355</v>
      </c>
      <c r="I19" s="12" t="n">
        <f aca="false">F19*H19</f>
        <v>293.0809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33</v>
      </c>
      <c r="D20" s="11" t="n">
        <f aca="false">Tabelle!V28</f>
        <v>67.3</v>
      </c>
      <c r="E20" s="6" t="n">
        <f aca="false">Tabelle!V44</f>
        <v>45000</v>
      </c>
      <c r="F20" s="11" t="n">
        <f aca="false">Tabelle!V12</f>
        <v>1413.66</v>
      </c>
      <c r="G20" s="5"/>
      <c r="H20" s="20" t="n">
        <f aca="false">Tabelle!F129</f>
        <v>0.296</v>
      </c>
      <c r="I20" s="12" t="n">
        <f aca="false">F20*H20</f>
        <v>418.44336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33</v>
      </c>
      <c r="D21" s="11" t="n">
        <f aca="false">Tabelle!V29</f>
        <v>0</v>
      </c>
      <c r="E21" s="6" t="n">
        <f aca="false">Tabelle!V45</f>
        <v>0</v>
      </c>
      <c r="F21" s="11" t="n">
        <f aca="false">Tabelle!V13</f>
        <v>0</v>
      </c>
      <c r="G21" s="5"/>
      <c r="H21" s="20" t="n">
        <f aca="false">Tabelle!F130</f>
        <v>0.3268</v>
      </c>
      <c r="I21" s="12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33</v>
      </c>
      <c r="D22" s="11" t="n">
        <f aca="false">Tabelle!V30</f>
        <v>22.11</v>
      </c>
      <c r="E22" s="6" t="n">
        <f aca="false">Tabelle!V46</f>
        <v>12791</v>
      </c>
      <c r="F22" s="11" t="n">
        <f aca="false">Tabelle!V14</f>
        <v>1235.63</v>
      </c>
      <c r="G22" s="5"/>
      <c r="H22" s="20" t="n">
        <f aca="false">Tabelle!F131</f>
        <v>0.2732</v>
      </c>
      <c r="I22" s="12" t="n">
        <f aca="false">F22*H22</f>
        <v>337.574116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33</v>
      </c>
      <c r="D23" s="11" t="n">
        <f aca="false">Tabelle!V31</f>
        <v>12.99</v>
      </c>
      <c r="E23" s="6" t="n">
        <f aca="false">Tabelle!V47</f>
        <v>8566</v>
      </c>
      <c r="F23" s="11" t="n">
        <f aca="false">Tabelle!V15</f>
        <v>2166.34</v>
      </c>
      <c r="G23" s="5"/>
      <c r="H23" s="20" t="n">
        <f aca="false">Tabelle!F132</f>
        <v>0.2134</v>
      </c>
      <c r="I23" s="12" t="n">
        <f aca="false">F23*H23</f>
        <v>462.296956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33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33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34</v>
      </c>
      <c r="D2" s="6" t="n">
        <v>0</v>
      </c>
      <c r="E2" s="6" t="n">
        <v>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34</v>
      </c>
      <c r="D3" s="6" t="n">
        <v>61.58</v>
      </c>
      <c r="E3" s="6" t="n">
        <v>22568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34</v>
      </c>
      <c r="D4" s="6" t="n">
        <v>41.16</v>
      </c>
      <c r="E4" s="6" t="n">
        <v>16740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34</v>
      </c>
      <c r="D5" s="6" t="n">
        <v>397.27</v>
      </c>
      <c r="E5" s="6" t="n">
        <v>13662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34</v>
      </c>
      <c r="D6" s="6" t="n">
        <v>62.07</v>
      </c>
      <c r="E6" s="6" t="n">
        <v>24810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34</v>
      </c>
      <c r="D7" s="6" t="n">
        <v>6.62</v>
      </c>
      <c r="E7" s="6" t="n">
        <v>2300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34</v>
      </c>
      <c r="D8" s="6" t="n">
        <v>59.08</v>
      </c>
      <c r="E8" s="6" t="n">
        <v>24981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34</v>
      </c>
      <c r="D9" s="6" t="n">
        <v>12.04</v>
      </c>
      <c r="E9" s="6" t="n">
        <v>4397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34</v>
      </c>
      <c r="D10" s="6" t="n">
        <v>68.21</v>
      </c>
      <c r="E10" s="6" t="n">
        <v>33366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34</v>
      </c>
      <c r="D11" s="6" t="n">
        <v>65.07</v>
      </c>
      <c r="E11" s="9" t="n">
        <v>36002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34</v>
      </c>
      <c r="D12" s="11" t="n">
        <f aca="false">Tabelle!W20</f>
        <v>50.9</v>
      </c>
      <c r="E12" s="6" t="n">
        <f aca="false">Tabelle!W36</f>
        <v>13035</v>
      </c>
      <c r="F12" s="11" t="n">
        <f aca="false">Tabelle!W4</f>
        <v>907.76</v>
      </c>
      <c r="G12" s="5"/>
      <c r="H12" s="20" t="n">
        <f aca="false">Tabelle!F121</f>
        <v>0.307</v>
      </c>
      <c r="I12" s="12" t="n">
        <f aca="false">F12*H12</f>
        <v>278.68232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34</v>
      </c>
      <c r="D13" s="11" t="n">
        <f aca="false">Tabelle!W21</f>
        <v>23.7</v>
      </c>
      <c r="E13" s="6" t="n">
        <f aca="false">Tabelle!W37</f>
        <v>10080</v>
      </c>
      <c r="F13" s="11" t="n">
        <f aca="false">Tabelle!W5</f>
        <v>499.04</v>
      </c>
      <c r="G13" s="5"/>
      <c r="H13" s="20" t="n">
        <f aca="false">Tabelle!F122</f>
        <v>0.331</v>
      </c>
      <c r="I13" s="12" t="n">
        <f aca="false">F13*H13</f>
        <v>165.18224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34</v>
      </c>
      <c r="D14" s="11" t="n">
        <f aca="false">Tabelle!W22</f>
        <v>11.9</v>
      </c>
      <c r="E14" s="6" t="n">
        <f aca="false">Tabelle!W38</f>
        <v>4740</v>
      </c>
      <c r="F14" s="11" t="n">
        <f aca="false">Tabelle!W6</f>
        <v>432.51</v>
      </c>
      <c r="G14" s="5"/>
      <c r="H14" s="20" t="n">
        <f aca="false">Tabelle!F123</f>
        <v>0.335</v>
      </c>
      <c r="I14" s="12" t="n">
        <f aca="false">F14*H14</f>
        <v>144.89085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34</v>
      </c>
      <c r="D15" s="11" t="n">
        <f aca="false">Tabelle!W23</f>
        <v>11.7</v>
      </c>
      <c r="E15" s="6" t="n">
        <f aca="false">Tabelle!W39</f>
        <v>3784</v>
      </c>
      <c r="F15" s="11" t="n">
        <f aca="false">Tabelle!W7</f>
        <v>47.1500000000001</v>
      </c>
      <c r="G15" s="5"/>
      <c r="H15" s="20" t="n">
        <f aca="false">Tabelle!F124</f>
        <v>0.334</v>
      </c>
      <c r="I15" s="12" t="n">
        <f aca="false">F15*H15</f>
        <v>15.7481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34</v>
      </c>
      <c r="D16" s="11" t="n">
        <f aca="false">Tabelle!W24</f>
        <v>82.1</v>
      </c>
      <c r="E16" s="6" t="n">
        <f aca="false">Tabelle!W40</f>
        <v>32736</v>
      </c>
      <c r="F16" s="11" t="n">
        <f aca="false">Tabelle!W8</f>
        <v>2041.06</v>
      </c>
      <c r="G16" s="5"/>
      <c r="H16" s="20" t="n">
        <f aca="false">Tabelle!F125</f>
        <v>0.286</v>
      </c>
      <c r="I16" s="12" t="n">
        <f aca="false">F16*H16</f>
        <v>583.74316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34</v>
      </c>
      <c r="D17" s="11" t="n">
        <f aca="false">Tabelle!W25</f>
        <v>95.1</v>
      </c>
      <c r="E17" s="6" t="n">
        <f aca="false">Tabelle!W41</f>
        <v>40772</v>
      </c>
      <c r="F17" s="11" t="n">
        <f aca="false">Tabelle!W9</f>
        <v>1771.95</v>
      </c>
      <c r="G17" s="5"/>
      <c r="H17" s="20" t="n">
        <f aca="false">Tabelle!F126</f>
        <v>0.2655</v>
      </c>
      <c r="I17" s="12" t="n">
        <f aca="false">F17*H17</f>
        <v>470.452725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34</v>
      </c>
      <c r="D18" s="11" t="n">
        <f aca="false">Tabelle!W26</f>
        <v>62.5</v>
      </c>
      <c r="E18" s="6" t="n">
        <f aca="false">Tabelle!W42</f>
        <v>37888</v>
      </c>
      <c r="F18" s="11" t="n">
        <f aca="false">Tabelle!W10</f>
        <v>1398.26</v>
      </c>
      <c r="G18" s="5"/>
      <c r="H18" s="20" t="n">
        <f aca="false">Tabelle!F127</f>
        <v>0.2575</v>
      </c>
      <c r="I18" s="12" t="n">
        <f aca="false">F18*H18</f>
        <v>360.05195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34</v>
      </c>
      <c r="D19" s="11" t="n">
        <f aca="false">Tabelle!W27</f>
        <v>0</v>
      </c>
      <c r="E19" s="6" t="n">
        <f aca="false">Tabelle!W43</f>
        <v>0</v>
      </c>
      <c r="F19" s="11" t="n">
        <f aca="false">Tabelle!W11</f>
        <v>0</v>
      </c>
      <c r="G19" s="5"/>
      <c r="H19" s="20" t="n">
        <f aca="false">Tabelle!F128</f>
        <v>0.355</v>
      </c>
      <c r="I19" s="12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34</v>
      </c>
      <c r="D20" s="11" t="n">
        <f aca="false">Tabelle!W28</f>
        <v>0</v>
      </c>
      <c r="E20" s="6" t="n">
        <f aca="false">Tabelle!W44</f>
        <v>0</v>
      </c>
      <c r="F20" s="11" t="n">
        <f aca="false">Tabelle!W12</f>
        <v>0</v>
      </c>
      <c r="G20" s="5"/>
      <c r="H20" s="20" t="n">
        <f aca="false">Tabelle!F129</f>
        <v>0.296</v>
      </c>
      <c r="I20" s="12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34</v>
      </c>
      <c r="D21" s="11" t="n">
        <f aca="false">Tabelle!W29</f>
        <v>0</v>
      </c>
      <c r="E21" s="6" t="n">
        <f aca="false">Tabelle!W45</f>
        <v>0</v>
      </c>
      <c r="F21" s="11" t="n">
        <f aca="false">Tabelle!W13</f>
        <v>0</v>
      </c>
      <c r="G21" s="5"/>
      <c r="H21" s="20" t="n">
        <f aca="false">Tabelle!F130</f>
        <v>0.3268</v>
      </c>
      <c r="I21" s="12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34</v>
      </c>
      <c r="D22" s="11" t="n">
        <f aca="false">Tabelle!W30</f>
        <v>0</v>
      </c>
      <c r="E22" s="6" t="n">
        <f aca="false">Tabelle!W46</f>
        <v>0</v>
      </c>
      <c r="F22" s="11" t="n">
        <f aca="false">Tabelle!W14</f>
        <v>0</v>
      </c>
      <c r="G22" s="5"/>
      <c r="H22" s="20" t="n">
        <f aca="false">Tabelle!F131</f>
        <v>0.2732</v>
      </c>
      <c r="I22" s="12" t="n">
        <f aca="false">F22*H22</f>
        <v>0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34</v>
      </c>
      <c r="D23" s="11" t="n">
        <f aca="false">Tabelle!W31</f>
        <v>0</v>
      </c>
      <c r="E23" s="6" t="n">
        <f aca="false">Tabelle!W47</f>
        <v>0</v>
      </c>
      <c r="F23" s="11" t="n">
        <f aca="false">Tabelle!W15</f>
        <v>0</v>
      </c>
      <c r="G23" s="5"/>
      <c r="H23" s="20" t="n">
        <f aca="false">Tabelle!F132</f>
        <v>0.2134</v>
      </c>
      <c r="I23" s="12" t="n">
        <f aca="false">F23*H23</f>
        <v>0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34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34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35</v>
      </c>
      <c r="D2" s="6" t="n">
        <v>67.45</v>
      </c>
      <c r="E2" s="6" t="n">
        <v>27440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35</v>
      </c>
      <c r="D3" s="6" t="n">
        <v>76.26</v>
      </c>
      <c r="E3" s="6" t="n">
        <v>27066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35</v>
      </c>
      <c r="D4" s="6" t="n">
        <v>0</v>
      </c>
      <c r="E4" s="6" t="n">
        <v>0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35</v>
      </c>
      <c r="D5" s="6" t="n">
        <v>66.19</v>
      </c>
      <c r="E5" s="6" t="n">
        <v>22850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35</v>
      </c>
      <c r="D6" s="6" t="n">
        <v>145.04</v>
      </c>
      <c r="E6" s="6" t="n">
        <v>54107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35</v>
      </c>
      <c r="D7" s="6" t="n">
        <v>71.97</v>
      </c>
      <c r="E7" s="6" t="n">
        <v>30860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35</v>
      </c>
      <c r="D8" s="6" t="n">
        <v>3.46</v>
      </c>
      <c r="E8" s="6" t="n">
        <v>1856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35</v>
      </c>
      <c r="D9" s="6" t="n">
        <v>76.2</v>
      </c>
      <c r="E9" s="6" t="n">
        <v>24832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35</v>
      </c>
      <c r="D10" s="6" t="n">
        <v>12.63</v>
      </c>
      <c r="E10" s="6" t="n">
        <v>5432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35</v>
      </c>
      <c r="D11" s="6" t="n">
        <v>60.25</v>
      </c>
      <c r="E11" s="9" t="n">
        <v>25350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35</v>
      </c>
      <c r="D12" s="11" t="n">
        <f aca="false">Tabelle!X20</f>
        <v>7.4</v>
      </c>
      <c r="E12" s="6" t="n">
        <f aca="false">Tabelle!X36</f>
        <v>3692</v>
      </c>
      <c r="F12" s="11" t="n">
        <f aca="false">Tabelle!X4</f>
        <v>366.49</v>
      </c>
      <c r="G12" s="5"/>
      <c r="H12" s="20" t="n">
        <f aca="false">Tabelle!F121</f>
        <v>0.307</v>
      </c>
      <c r="I12" s="12" t="n">
        <f aca="false">F12*H12</f>
        <v>112.51243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35</v>
      </c>
      <c r="D13" s="11" t="n">
        <f aca="false">Tabelle!X21</f>
        <v>65.2</v>
      </c>
      <c r="E13" s="6" t="n">
        <f aca="false">Tabelle!X37</f>
        <v>29070</v>
      </c>
      <c r="F13" s="11" t="n">
        <f aca="false">Tabelle!X5</f>
        <v>1437.77</v>
      </c>
      <c r="G13" s="5"/>
      <c r="H13" s="20" t="n">
        <f aca="false">Tabelle!F122</f>
        <v>0.331</v>
      </c>
      <c r="I13" s="12" t="n">
        <f aca="false">F13*H13</f>
        <v>475.90187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35</v>
      </c>
      <c r="D14" s="11" t="n">
        <f aca="false">Tabelle!X22</f>
        <v>71.8</v>
      </c>
      <c r="E14" s="6" t="n">
        <f aca="false">Tabelle!X38</f>
        <v>29246</v>
      </c>
      <c r="F14" s="11" t="n">
        <f aca="false">Tabelle!X6</f>
        <v>1463.98</v>
      </c>
      <c r="G14" s="5"/>
      <c r="H14" s="20" t="n">
        <f aca="false">Tabelle!F123</f>
        <v>0.335</v>
      </c>
      <c r="I14" s="12" t="n">
        <f aca="false">F14*H14</f>
        <v>490.4333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35</v>
      </c>
      <c r="D15" s="11" t="n">
        <f aca="false">Tabelle!X23</f>
        <v>70.5</v>
      </c>
      <c r="E15" s="6" t="n">
        <f aca="false">Tabelle!X39</f>
        <v>29300</v>
      </c>
      <c r="F15" s="11" t="n">
        <f aca="false">Tabelle!X7</f>
        <v>1474.88</v>
      </c>
      <c r="G15" s="5"/>
      <c r="H15" s="20" t="n">
        <f aca="false">Tabelle!F124</f>
        <v>0.334</v>
      </c>
      <c r="I15" s="12" t="n">
        <f aca="false">F15*H15</f>
        <v>492.60992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35</v>
      </c>
      <c r="D16" s="11" t="n">
        <f aca="false">Tabelle!X24</f>
        <v>116.5</v>
      </c>
      <c r="E16" s="6" t="n">
        <f aca="false">Tabelle!X40</f>
        <v>44827</v>
      </c>
      <c r="F16" s="11" t="n">
        <f aca="false">Tabelle!X8</f>
        <v>2375.76</v>
      </c>
      <c r="G16" s="5"/>
      <c r="H16" s="20" t="n">
        <f aca="false">Tabelle!F125</f>
        <v>0.286</v>
      </c>
      <c r="I16" s="12" t="n">
        <f aca="false">F16*H16</f>
        <v>679.46736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35</v>
      </c>
      <c r="D17" s="11" t="n">
        <f aca="false">Tabelle!X25</f>
        <v>76.7</v>
      </c>
      <c r="E17" s="6" t="n">
        <f aca="false">Tabelle!X41</f>
        <v>28171</v>
      </c>
      <c r="F17" s="11" t="n">
        <f aca="false">Tabelle!X9</f>
        <v>1423.97</v>
      </c>
      <c r="G17" s="5"/>
      <c r="H17" s="20" t="n">
        <f aca="false">Tabelle!F126</f>
        <v>0.2655</v>
      </c>
      <c r="I17" s="12" t="n">
        <f aca="false">F17*H17</f>
        <v>378.064035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35</v>
      </c>
      <c r="D18" s="11" t="n">
        <f aca="false">Tabelle!X26</f>
        <v>0</v>
      </c>
      <c r="E18" s="6" t="n">
        <f aca="false">Tabelle!X42</f>
        <v>0</v>
      </c>
      <c r="F18" s="11" t="n">
        <f aca="false">Tabelle!X10</f>
        <v>0</v>
      </c>
      <c r="G18" s="5"/>
      <c r="H18" s="20" t="n">
        <f aca="false">Tabelle!F127</f>
        <v>0.2575</v>
      </c>
      <c r="I18" s="12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35</v>
      </c>
      <c r="D19" s="11" t="n">
        <f aca="false">Tabelle!X27</f>
        <v>0</v>
      </c>
      <c r="E19" s="6" t="n">
        <f aca="false">Tabelle!X43</f>
        <v>0</v>
      </c>
      <c r="F19" s="11" t="n">
        <f aca="false">Tabelle!X11</f>
        <v>0</v>
      </c>
      <c r="G19" s="5"/>
      <c r="H19" s="20" t="n">
        <f aca="false">Tabelle!F128</f>
        <v>0.355</v>
      </c>
      <c r="I19" s="12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35</v>
      </c>
      <c r="D20" s="11" t="n">
        <f aca="false">Tabelle!X28</f>
        <v>0</v>
      </c>
      <c r="E20" s="6" t="n">
        <f aca="false">Tabelle!X44</f>
        <v>0</v>
      </c>
      <c r="F20" s="11" t="n">
        <f aca="false">Tabelle!X12</f>
        <v>0</v>
      </c>
      <c r="G20" s="5"/>
      <c r="H20" s="20" t="n">
        <f aca="false">Tabelle!F129</f>
        <v>0.296</v>
      </c>
      <c r="I20" s="12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35</v>
      </c>
      <c r="D21" s="11" t="n">
        <f aca="false">Tabelle!X29</f>
        <v>0</v>
      </c>
      <c r="E21" s="6" t="n">
        <f aca="false">Tabelle!X45</f>
        <v>0</v>
      </c>
      <c r="F21" s="11" t="n">
        <f aca="false">Tabelle!X13</f>
        <v>0</v>
      </c>
      <c r="G21" s="5"/>
      <c r="H21" s="20" t="n">
        <f aca="false">Tabelle!F130</f>
        <v>0.3268</v>
      </c>
      <c r="I21" s="12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35</v>
      </c>
      <c r="D22" s="11" t="n">
        <f aca="false">Tabelle!X30</f>
        <v>0</v>
      </c>
      <c r="E22" s="6" t="n">
        <f aca="false">Tabelle!X46</f>
        <v>0</v>
      </c>
      <c r="F22" s="11" t="n">
        <f aca="false">Tabelle!X14</f>
        <v>0</v>
      </c>
      <c r="G22" s="5"/>
      <c r="H22" s="20" t="n">
        <f aca="false">Tabelle!F131</f>
        <v>0.2732</v>
      </c>
      <c r="I22" s="12" t="n">
        <f aca="false">F22*H22</f>
        <v>0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35</v>
      </c>
      <c r="D23" s="11" t="n">
        <f aca="false">Tabelle!X31</f>
        <v>0</v>
      </c>
      <c r="E23" s="6" t="n">
        <f aca="false">Tabelle!X47</f>
        <v>0</v>
      </c>
      <c r="F23" s="11" t="n">
        <f aca="false">Tabelle!X15</f>
        <v>0</v>
      </c>
      <c r="G23" s="5"/>
      <c r="H23" s="20" t="n">
        <f aca="false">Tabelle!F132</f>
        <v>0.2134</v>
      </c>
      <c r="I23" s="12" t="n">
        <f aca="false">F23*H23</f>
        <v>0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35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35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21" t="s">
        <v>41</v>
      </c>
      <c r="B1" s="21" t="s">
        <v>42</v>
      </c>
      <c r="C1" s="21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3" t="s">
        <v>50</v>
      </c>
      <c r="K1" s="23" t="s">
        <v>51</v>
      </c>
    </row>
    <row r="2" customFormat="false" ht="15" hidden="false" customHeight="false" outlineLevel="0" collapsed="false">
      <c r="A2" s="24" t="n">
        <v>2024</v>
      </c>
      <c r="B2" s="24" t="n">
        <v>1</v>
      </c>
      <c r="C2" s="25" t="s">
        <v>36</v>
      </c>
      <c r="D2" s="26"/>
      <c r="E2" s="26"/>
      <c r="F2" s="25"/>
      <c r="G2" s="25"/>
      <c r="H2" s="27" t="n">
        <f aca="false">Tabelle!F111</f>
        <v>0.2557</v>
      </c>
      <c r="I2" s="2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24" t="n">
        <v>2024</v>
      </c>
      <c r="B3" s="24" t="n">
        <v>2</v>
      </c>
      <c r="C3" s="25" t="s">
        <v>36</v>
      </c>
      <c r="D3" s="26"/>
      <c r="E3" s="26"/>
      <c r="F3" s="25"/>
      <c r="G3" s="25"/>
      <c r="H3" s="27" t="n">
        <f aca="false">Tabelle!F112</f>
        <v>0.2378</v>
      </c>
      <c r="I3" s="2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24" t="n">
        <v>2024</v>
      </c>
      <c r="B4" s="24" t="n">
        <v>3</v>
      </c>
      <c r="C4" s="25" t="s">
        <v>36</v>
      </c>
      <c r="D4" s="26"/>
      <c r="E4" s="26"/>
      <c r="F4" s="25"/>
      <c r="G4" s="25"/>
      <c r="H4" s="27" t="n">
        <f aca="false">Tabelle!F113</f>
        <v>0.2428</v>
      </c>
      <c r="I4" s="2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24" t="n">
        <v>2024</v>
      </c>
      <c r="B5" s="24" t="n">
        <v>4</v>
      </c>
      <c r="C5" s="25" t="s">
        <v>36</v>
      </c>
      <c r="D5" s="26"/>
      <c r="E5" s="26"/>
      <c r="F5" s="25"/>
      <c r="G5" s="25"/>
      <c r="H5" s="27" t="n">
        <f aca="false">Tabelle!F114</f>
        <v>0.2416</v>
      </c>
      <c r="I5" s="2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24" t="n">
        <v>2024</v>
      </c>
      <c r="B6" s="24" t="n">
        <v>5</v>
      </c>
      <c r="C6" s="25" t="s">
        <v>36</v>
      </c>
      <c r="D6" s="26"/>
      <c r="E6" s="26"/>
      <c r="F6" s="25"/>
      <c r="G6" s="25"/>
      <c r="H6" s="27" t="n">
        <f aca="false">Tabelle!F115</f>
        <v>0.2507</v>
      </c>
      <c r="I6" s="2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24" t="n">
        <v>2024</v>
      </c>
      <c r="B7" s="24" t="n">
        <v>6</v>
      </c>
      <c r="C7" s="25" t="s">
        <v>36</v>
      </c>
      <c r="D7" s="26"/>
      <c r="E7" s="26"/>
      <c r="F7" s="25"/>
      <c r="G7" s="25"/>
      <c r="H7" s="27" t="n">
        <f aca="false">Tabelle!F116</f>
        <v>0.2722</v>
      </c>
      <c r="I7" s="2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24" t="n">
        <v>2024</v>
      </c>
      <c r="B8" s="24" t="n">
        <v>7</v>
      </c>
      <c r="C8" s="25" t="s">
        <v>36</v>
      </c>
      <c r="D8" s="26"/>
      <c r="E8" s="26"/>
      <c r="F8" s="25"/>
      <c r="G8" s="25"/>
      <c r="H8" s="27" t="n">
        <f aca="false">Tabelle!F117</f>
        <v>0.287</v>
      </c>
      <c r="I8" s="2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24" t="n">
        <v>2024</v>
      </c>
      <c r="B9" s="24" t="n">
        <v>8</v>
      </c>
      <c r="C9" s="25" t="s">
        <v>36</v>
      </c>
      <c r="D9" s="26"/>
      <c r="E9" s="26"/>
      <c r="F9" s="25"/>
      <c r="G9" s="25"/>
      <c r="H9" s="27" t="n">
        <f aca="false">Tabelle!F118</f>
        <v>0.3047</v>
      </c>
      <c r="I9" s="2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24" t="n">
        <v>2024</v>
      </c>
      <c r="B10" s="24" t="n">
        <v>9</v>
      </c>
      <c r="C10" s="25" t="s">
        <v>36</v>
      </c>
      <c r="D10" s="26"/>
      <c r="E10" s="26"/>
      <c r="F10" s="25"/>
      <c r="G10" s="25"/>
      <c r="H10" s="27" t="n">
        <f aca="false">Tabelle!F119</f>
        <v>0.2904</v>
      </c>
      <c r="I10" s="2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24" t="n">
        <v>2024</v>
      </c>
      <c r="B11" s="24" t="n">
        <v>10</v>
      </c>
      <c r="C11" s="25" t="s">
        <v>36</v>
      </c>
      <c r="D11" s="26" t="n">
        <v>0.01</v>
      </c>
      <c r="E11" s="30" t="n">
        <v>7</v>
      </c>
      <c r="F11" s="25"/>
      <c r="G11" s="25"/>
      <c r="H11" s="27" t="n">
        <f aca="false">Tabelle!F120</f>
        <v>0.2856</v>
      </c>
      <c r="I11" s="2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24" t="n">
        <v>2024</v>
      </c>
      <c r="B12" s="24" t="n">
        <v>11</v>
      </c>
      <c r="C12" s="25" t="s">
        <v>36</v>
      </c>
      <c r="D12" s="10"/>
      <c r="E12" s="26"/>
      <c r="F12" s="11"/>
      <c r="G12" s="25"/>
      <c r="H12" s="27" t="n">
        <f aca="false">Tabelle!F121</f>
        <v>0.307</v>
      </c>
      <c r="I12" s="31" t="n">
        <f aca="false">F12*H12</f>
        <v>0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24" t="n">
        <v>2024</v>
      </c>
      <c r="B13" s="24" t="n">
        <v>12</v>
      </c>
      <c r="C13" s="25" t="s">
        <v>36</v>
      </c>
      <c r="D13" s="10"/>
      <c r="E13" s="10"/>
      <c r="F13" s="11"/>
      <c r="G13" s="25"/>
      <c r="H13" s="27" t="n">
        <f aca="false">Tabelle!F122</f>
        <v>0.331</v>
      </c>
      <c r="I13" s="31" t="n">
        <f aca="false">F13*H13</f>
        <v>0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29" t="n">
        <v>2025</v>
      </c>
      <c r="B14" s="29" t="n">
        <v>1</v>
      </c>
      <c r="C14" s="25" t="s">
        <v>36</v>
      </c>
      <c r="D14" s="10"/>
      <c r="E14" s="10"/>
      <c r="F14" s="11"/>
      <c r="G14" s="25"/>
      <c r="H14" s="27" t="n">
        <f aca="false">Tabelle!F123</f>
        <v>0.335</v>
      </c>
      <c r="I14" s="31" t="n">
        <f aca="false">F14*H14</f>
        <v>0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29" t="n">
        <v>2025</v>
      </c>
      <c r="B15" s="29" t="n">
        <v>2</v>
      </c>
      <c r="C15" s="25" t="s">
        <v>36</v>
      </c>
      <c r="D15" s="10"/>
      <c r="E15" s="10"/>
      <c r="F15" s="11"/>
      <c r="G15" s="25"/>
      <c r="H15" s="27" t="n">
        <f aca="false">Tabelle!F124</f>
        <v>0.334</v>
      </c>
      <c r="I15" s="31" t="n">
        <f aca="false">F15*H15</f>
        <v>0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29" t="n">
        <v>2025</v>
      </c>
      <c r="B16" s="29" t="n">
        <v>3</v>
      </c>
      <c r="C16" s="25" t="s">
        <v>36</v>
      </c>
      <c r="D16" s="10"/>
      <c r="E16" s="10"/>
      <c r="F16" s="11"/>
      <c r="G16" s="25"/>
      <c r="H16" s="27" t="n">
        <f aca="false">Tabelle!F125</f>
        <v>0.286</v>
      </c>
      <c r="I16" s="31" t="n">
        <f aca="false">F16*H16</f>
        <v>0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29" t="n">
        <v>2025</v>
      </c>
      <c r="B17" s="29" t="n">
        <v>4</v>
      </c>
      <c r="C17" s="25" t="s">
        <v>36</v>
      </c>
      <c r="D17" s="10"/>
      <c r="E17" s="10"/>
      <c r="F17" s="11"/>
      <c r="G17" s="25"/>
      <c r="H17" s="27" t="n">
        <f aca="false">Tabelle!F126</f>
        <v>0.2655</v>
      </c>
      <c r="I17" s="31" t="n">
        <f aca="false">F17*H17</f>
        <v>0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29" t="n">
        <v>2025</v>
      </c>
      <c r="B18" s="29" t="n">
        <v>5</v>
      </c>
      <c r="C18" s="25" t="s">
        <v>36</v>
      </c>
      <c r="D18" s="10"/>
      <c r="E18" s="10"/>
      <c r="F18" s="11"/>
      <c r="G18" s="25"/>
      <c r="H18" s="27" t="n">
        <f aca="false">Tabelle!F127</f>
        <v>0.2575</v>
      </c>
      <c r="I18" s="31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29" t="n">
        <v>2025</v>
      </c>
      <c r="B19" s="29" t="n">
        <v>6</v>
      </c>
      <c r="C19" s="25" t="s">
        <v>36</v>
      </c>
      <c r="D19" s="10"/>
      <c r="E19" s="10"/>
      <c r="F19" s="11"/>
      <c r="G19" s="25"/>
      <c r="H19" s="27" t="n">
        <f aca="false">Tabelle!F128</f>
        <v>0.355</v>
      </c>
      <c r="I19" s="31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29" t="n">
        <v>2025</v>
      </c>
      <c r="B20" s="29" t="n">
        <v>7</v>
      </c>
      <c r="C20" s="25" t="s">
        <v>36</v>
      </c>
      <c r="D20" s="10"/>
      <c r="E20" s="10"/>
      <c r="F20" s="11"/>
      <c r="G20" s="25"/>
      <c r="H20" s="27" t="n">
        <f aca="false">Tabelle!F129</f>
        <v>0.296</v>
      </c>
      <c r="I20" s="31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29" t="n">
        <v>2025</v>
      </c>
      <c r="B21" s="29" t="n">
        <v>8</v>
      </c>
      <c r="C21" s="25" t="s">
        <v>36</v>
      </c>
      <c r="D21" s="26"/>
      <c r="E21" s="26"/>
      <c r="F21" s="25"/>
      <c r="G21" s="25"/>
      <c r="H21" s="27" t="n">
        <f aca="false">Tabelle!F130</f>
        <v>0.3268</v>
      </c>
      <c r="I21" s="31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29" t="n">
        <v>2025</v>
      </c>
      <c r="B22" s="29" t="n">
        <v>9</v>
      </c>
      <c r="C22" s="25" t="s">
        <v>36</v>
      </c>
      <c r="D22" s="26" t="n">
        <v>0</v>
      </c>
      <c r="E22" s="26" t="n">
        <v>0</v>
      </c>
      <c r="F22" s="25"/>
      <c r="G22" s="25"/>
      <c r="H22" s="27" t="n">
        <f aca="false">Tabelle!F131</f>
        <v>0.2732</v>
      </c>
      <c r="I22" s="25"/>
      <c r="J22" s="6" t="n">
        <f aca="false">Tabelle!B131</f>
        <v>47214</v>
      </c>
      <c r="K22" s="8" t="n">
        <f aca="false">Tabelle!G108</f>
        <v>0</v>
      </c>
    </row>
    <row r="23" customFormat="false" ht="15" hidden="false" customHeight="false" outlineLevel="0" collapsed="false">
      <c r="A23" s="29" t="n">
        <v>2025</v>
      </c>
      <c r="B23" s="29" t="n">
        <v>10</v>
      </c>
      <c r="C23" s="25" t="s">
        <v>36</v>
      </c>
      <c r="D23" s="26" t="n">
        <v>0</v>
      </c>
      <c r="E23" s="26" t="n">
        <v>0</v>
      </c>
      <c r="F23" s="25"/>
      <c r="G23" s="25"/>
      <c r="H23" s="27" t="n">
        <f aca="false">Tabelle!F132</f>
        <v>0.2134</v>
      </c>
      <c r="I23" s="25"/>
      <c r="J23" s="6" t="n">
        <f aca="false">Tabelle!B132</f>
        <v>47533</v>
      </c>
      <c r="K23" s="8" t="n">
        <f aca="false">Tabelle!G110</f>
        <v>0</v>
      </c>
    </row>
    <row r="24" customFormat="false" ht="15" hidden="false" customHeight="false" outlineLevel="0" collapsed="false">
      <c r="A24" s="29" t="n">
        <v>2025</v>
      </c>
      <c r="B24" s="29" t="n">
        <v>11</v>
      </c>
      <c r="C24" s="25" t="s">
        <v>36</v>
      </c>
      <c r="D24" s="26"/>
      <c r="E24" s="26"/>
      <c r="F24" s="25"/>
      <c r="G24" s="25"/>
      <c r="H24" s="27" t="n">
        <f aca="false">Tabelle!F133</f>
        <v>0.2261</v>
      </c>
      <c r="I24" s="2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29" t="n">
        <v>2025</v>
      </c>
      <c r="B25" s="29" t="n">
        <v>12</v>
      </c>
      <c r="C25" s="25" t="s">
        <v>36</v>
      </c>
      <c r="D25" s="26"/>
      <c r="E25" s="26"/>
      <c r="F25" s="25"/>
      <c r="G25" s="25"/>
      <c r="H25" s="27" t="n">
        <f aca="false">Tabelle!F134</f>
        <v>0</v>
      </c>
      <c r="I25" s="2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37</v>
      </c>
      <c r="D2" s="6" t="n">
        <v>39.27</v>
      </c>
      <c r="E2" s="6" t="n">
        <v>11077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37</v>
      </c>
      <c r="D3" s="6" t="n">
        <v>19</v>
      </c>
      <c r="E3" s="6" t="n">
        <v>5625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37</v>
      </c>
      <c r="D4" s="6" t="n">
        <v>157.46</v>
      </c>
      <c r="E4" s="6" t="n">
        <v>30131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37</v>
      </c>
      <c r="D5" s="6" t="n">
        <v>78.11</v>
      </c>
      <c r="E5" s="6" t="n">
        <v>25849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37</v>
      </c>
      <c r="D6" s="6" t="n">
        <v>178.81</v>
      </c>
      <c r="E6" s="6" t="n">
        <v>25824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37</v>
      </c>
      <c r="D7" s="6" t="n">
        <v>7.35</v>
      </c>
      <c r="E7" s="6" t="n">
        <v>2632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37</v>
      </c>
      <c r="D8" s="6" t="n">
        <v>112.09</v>
      </c>
      <c r="E8" s="6" t="n">
        <v>32609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37</v>
      </c>
      <c r="D9" s="6" t="n">
        <v>21.29</v>
      </c>
      <c r="E9" s="6" t="n">
        <v>3856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37</v>
      </c>
      <c r="D10" s="6" t="n">
        <v>0</v>
      </c>
      <c r="E10" s="6" t="n">
        <v>0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37</v>
      </c>
      <c r="D11" s="6" t="n">
        <v>0</v>
      </c>
      <c r="E11" s="9" t="n">
        <v>0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37</v>
      </c>
      <c r="D12" s="11" t="n">
        <f aca="false">Tabelle!Z20</f>
        <v>6.2</v>
      </c>
      <c r="E12" s="6" t="n">
        <f aca="false">Tabelle!Z36</f>
        <v>952</v>
      </c>
      <c r="F12" s="11" t="n">
        <f aca="false">Tabelle!Z4</f>
        <v>22.83</v>
      </c>
      <c r="G12" s="5"/>
      <c r="H12" s="20" t="n">
        <f aca="false">Tabelle!F121</f>
        <v>0.307</v>
      </c>
      <c r="I12" s="12" t="n">
        <f aca="false">F12*H12</f>
        <v>7.00881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37</v>
      </c>
      <c r="D13" s="11" t="n">
        <f aca="false">Tabelle!Z21</f>
        <v>107.1</v>
      </c>
      <c r="E13" s="6" t="n">
        <f aca="false">Tabelle!Z37</f>
        <v>25238</v>
      </c>
      <c r="F13" s="11" t="n">
        <f aca="false">Tabelle!Z5</f>
        <v>28.35</v>
      </c>
      <c r="G13" s="5"/>
      <c r="H13" s="20" t="n">
        <f aca="false">Tabelle!F122</f>
        <v>0.331</v>
      </c>
      <c r="I13" s="12" t="n">
        <f aca="false">F13*H13</f>
        <v>9.38385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37</v>
      </c>
      <c r="D14" s="11" t="n">
        <f aca="false">Tabelle!Z22</f>
        <v>0</v>
      </c>
      <c r="E14" s="6" t="n">
        <f aca="false">Tabelle!Z38</f>
        <v>0</v>
      </c>
      <c r="F14" s="11" t="n">
        <f aca="false">Tabelle!Z6</f>
        <v>1.74</v>
      </c>
      <c r="G14" s="5"/>
      <c r="H14" s="20" t="n">
        <f aca="false">Tabelle!F123</f>
        <v>0.335</v>
      </c>
      <c r="I14" s="12" t="n">
        <f aca="false">F14*H14</f>
        <v>0.582900000000001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37</v>
      </c>
      <c r="D15" s="11" t="n">
        <f aca="false">Tabelle!Z23</f>
        <v>0</v>
      </c>
      <c r="E15" s="6" t="n">
        <f aca="false">Tabelle!Z39</f>
        <v>0</v>
      </c>
      <c r="F15" s="11" t="n">
        <f aca="false">Tabelle!Z7</f>
        <v>1.69000000000001</v>
      </c>
      <c r="G15" s="5"/>
      <c r="H15" s="20" t="n">
        <f aca="false">Tabelle!F124</f>
        <v>0.334</v>
      </c>
      <c r="I15" s="12" t="n">
        <f aca="false">F15*H15</f>
        <v>0.564460000000002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37</v>
      </c>
      <c r="D16" s="11" t="n">
        <f aca="false">Tabelle!Z24</f>
        <v>0</v>
      </c>
      <c r="E16" s="6" t="n">
        <f aca="false">Tabelle!Z40</f>
        <v>0</v>
      </c>
      <c r="F16" s="11" t="n">
        <f aca="false">Tabelle!Z8</f>
        <v>2.7</v>
      </c>
      <c r="G16" s="5"/>
      <c r="H16" s="20" t="n">
        <f aca="false">Tabelle!F125</f>
        <v>0.286</v>
      </c>
      <c r="I16" s="12" t="n">
        <f aca="false">F16*H16</f>
        <v>0.772199999999999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37</v>
      </c>
      <c r="D17" s="11" t="n">
        <f aca="false">Tabelle!Z25</f>
        <v>40.4</v>
      </c>
      <c r="E17" s="6" t="n">
        <f aca="false">Tabelle!Z41</f>
        <v>5772</v>
      </c>
      <c r="F17" s="11" t="n">
        <f aca="false">Tabelle!Z9</f>
        <v>16.48</v>
      </c>
      <c r="G17" s="5"/>
      <c r="H17" s="20" t="n">
        <f aca="false">Tabelle!F126</f>
        <v>0.2655</v>
      </c>
      <c r="I17" s="12" t="n">
        <f aca="false">F17*H17</f>
        <v>4.37544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37</v>
      </c>
      <c r="D18" s="11" t="n">
        <f aca="false">Tabelle!Z26</f>
        <v>22.2</v>
      </c>
      <c r="E18" s="6" t="n">
        <f aca="false">Tabelle!Z42</f>
        <v>10809</v>
      </c>
      <c r="F18" s="11" t="n">
        <f aca="false">Tabelle!Z10</f>
        <v>7</v>
      </c>
      <c r="G18" s="5"/>
      <c r="H18" s="20" t="n">
        <f aca="false">Tabelle!F127</f>
        <v>0.2575</v>
      </c>
      <c r="I18" s="12" t="n">
        <f aca="false">F18*H18</f>
        <v>1.8025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37</v>
      </c>
      <c r="D19" s="11" t="n">
        <f aca="false">Tabelle!Z27</f>
        <v>0</v>
      </c>
      <c r="E19" s="6" t="n">
        <f aca="false">Tabelle!Z43</f>
        <v>0</v>
      </c>
      <c r="F19" s="11" t="n">
        <f aca="false">Tabelle!Z11</f>
        <v>1.64</v>
      </c>
      <c r="G19" s="5"/>
      <c r="H19" s="20" t="n">
        <f aca="false">Tabelle!F128</f>
        <v>0.355</v>
      </c>
      <c r="I19" s="12" t="n">
        <f aca="false">F19*H19</f>
        <v>0.5822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37</v>
      </c>
      <c r="D20" s="11" t="n">
        <f aca="false">Tabelle!Z28</f>
        <v>0</v>
      </c>
      <c r="E20" s="6" t="n">
        <f aca="false">Tabelle!Z44</f>
        <v>0</v>
      </c>
      <c r="F20" s="11" t="n">
        <f aca="false">Tabelle!Z12</f>
        <v>2.07000000000001</v>
      </c>
      <c r="G20" s="5"/>
      <c r="H20" s="20" t="n">
        <f aca="false">Tabelle!F129</f>
        <v>0.296</v>
      </c>
      <c r="I20" s="12" t="n">
        <f aca="false">F20*H20</f>
        <v>0.612720000000002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37</v>
      </c>
      <c r="D21" s="11" t="n">
        <f aca="false">Tabelle!Z29</f>
        <v>0</v>
      </c>
      <c r="E21" s="6" t="n">
        <f aca="false">Tabelle!Z45</f>
        <v>0</v>
      </c>
      <c r="F21" s="11" t="n">
        <f aca="false">Tabelle!Z13</f>
        <v>0.359999999999999</v>
      </c>
      <c r="G21" s="5"/>
      <c r="H21" s="20" t="n">
        <f aca="false">Tabelle!F130</f>
        <v>0.3268</v>
      </c>
      <c r="I21" s="12" t="n">
        <f aca="false">F21*H21</f>
        <v>0.117648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37</v>
      </c>
      <c r="D22" s="11" t="n">
        <f aca="false">Tabelle!Z30</f>
        <v>0</v>
      </c>
      <c r="E22" s="6" t="n">
        <f aca="false">Tabelle!Z46</f>
        <v>0</v>
      </c>
      <c r="F22" s="11" t="n">
        <f aca="false">Tabelle!Z14</f>
        <v>1.53999999999999</v>
      </c>
      <c r="G22" s="5"/>
      <c r="H22" s="20" t="n">
        <f aca="false">Tabelle!F131</f>
        <v>0.2732</v>
      </c>
      <c r="I22" s="12" t="n">
        <f aca="false">F22*H22</f>
        <v>0.420727999999998</v>
      </c>
      <c r="J22" s="6" t="n">
        <f aca="false">Tabelle!B131</f>
        <v>47214</v>
      </c>
      <c r="K22" s="8" t="n">
        <f aca="false">Tabelle!G105</f>
        <v>12897.86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37</v>
      </c>
      <c r="D23" s="11" t="n">
        <f aca="false">Tabelle!Z31</f>
        <v>0</v>
      </c>
      <c r="E23" s="6" t="n">
        <f aca="false">Tabelle!Z47</f>
        <v>0</v>
      </c>
      <c r="F23" s="11" t="n">
        <f aca="false">Tabelle!Z15</f>
        <v>2.04000000000001</v>
      </c>
      <c r="G23" s="5"/>
      <c r="H23" s="20" t="n">
        <f aca="false">Tabelle!F132</f>
        <v>0.2134</v>
      </c>
      <c r="I23" s="12" t="n">
        <f aca="false">F23*H23</f>
        <v>0.435336000000001</v>
      </c>
      <c r="J23" s="6" t="n">
        <f aca="false">Tabelle!B132</f>
        <v>47533</v>
      </c>
      <c r="K23" s="8" t="n">
        <f aca="false">Tabelle!G106</f>
        <v>13101.09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37</v>
      </c>
      <c r="D24" s="5"/>
      <c r="E24" s="5"/>
      <c r="F24" s="5"/>
      <c r="G24" s="5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37</v>
      </c>
      <c r="D25" s="5"/>
      <c r="E25" s="5"/>
      <c r="F25" s="5"/>
      <c r="G25" s="5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21" t="s">
        <v>41</v>
      </c>
      <c r="B1" s="21" t="s">
        <v>42</v>
      </c>
      <c r="C1" s="21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3" t="s">
        <v>50</v>
      </c>
      <c r="K1" s="23" t="s">
        <v>51</v>
      </c>
    </row>
    <row r="2" customFormat="false" ht="15" hidden="false" customHeight="false" outlineLevel="0" collapsed="false">
      <c r="A2" s="24" t="n">
        <v>2024</v>
      </c>
      <c r="B2" s="24" t="n">
        <v>1</v>
      </c>
      <c r="C2" s="25" t="s">
        <v>38</v>
      </c>
      <c r="D2" s="39" t="n">
        <v>0</v>
      </c>
      <c r="E2" s="26" t="n">
        <v>0</v>
      </c>
      <c r="F2" s="25"/>
      <c r="G2" s="25"/>
      <c r="H2" s="27" t="n">
        <f aca="false">Tabelle!F111</f>
        <v>0.2557</v>
      </c>
      <c r="I2" s="2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24" t="n">
        <v>2024</v>
      </c>
      <c r="B3" s="24" t="n">
        <v>2</v>
      </c>
      <c r="C3" s="25" t="s">
        <v>38</v>
      </c>
      <c r="D3" s="39" t="n">
        <v>0</v>
      </c>
      <c r="E3" s="26" t="n">
        <v>0</v>
      </c>
      <c r="F3" s="25"/>
      <c r="G3" s="25"/>
      <c r="H3" s="27" t="n">
        <f aca="false">Tabelle!F112</f>
        <v>0.2378</v>
      </c>
      <c r="I3" s="2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24" t="n">
        <v>2024</v>
      </c>
      <c r="B4" s="24" t="n">
        <v>3</v>
      </c>
      <c r="C4" s="25" t="s">
        <v>38</v>
      </c>
      <c r="D4" s="39" t="n">
        <v>31.5</v>
      </c>
      <c r="E4" s="26" t="n">
        <v>8776</v>
      </c>
      <c r="F4" s="25"/>
      <c r="G4" s="25"/>
      <c r="H4" s="27" t="n">
        <f aca="false">Tabelle!F113</f>
        <v>0.2428</v>
      </c>
      <c r="I4" s="2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24" t="n">
        <v>2024</v>
      </c>
      <c r="B5" s="24" t="n">
        <v>4</v>
      </c>
      <c r="C5" s="25" t="s">
        <v>38</v>
      </c>
      <c r="D5" s="39" t="n">
        <v>59.14</v>
      </c>
      <c r="E5" s="26" t="n">
        <v>17533</v>
      </c>
      <c r="F5" s="25"/>
      <c r="G5" s="25"/>
      <c r="H5" s="27" t="n">
        <f aca="false">Tabelle!F114</f>
        <v>0.2416</v>
      </c>
      <c r="I5" s="2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24" t="n">
        <v>2024</v>
      </c>
      <c r="B6" s="24" t="n">
        <v>5</v>
      </c>
      <c r="C6" s="25" t="s">
        <v>38</v>
      </c>
      <c r="D6" s="39" t="n">
        <v>0</v>
      </c>
      <c r="E6" s="26" t="n">
        <v>0</v>
      </c>
      <c r="F6" s="25"/>
      <c r="G6" s="25"/>
      <c r="H6" s="27" t="n">
        <f aca="false">Tabelle!F115</f>
        <v>0.2507</v>
      </c>
      <c r="I6" s="2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24" t="n">
        <v>2024</v>
      </c>
      <c r="B7" s="24" t="n">
        <v>6</v>
      </c>
      <c r="C7" s="25" t="s">
        <v>38</v>
      </c>
      <c r="D7" s="39" t="n">
        <v>23.68</v>
      </c>
      <c r="E7" s="26" t="n">
        <v>8650</v>
      </c>
      <c r="F7" s="25"/>
      <c r="G7" s="25"/>
      <c r="H7" s="27" t="n">
        <f aca="false">Tabelle!F116</f>
        <v>0.2722</v>
      </c>
      <c r="I7" s="2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24" t="n">
        <v>2024</v>
      </c>
      <c r="B8" s="24" t="n">
        <v>7</v>
      </c>
      <c r="C8" s="25" t="s">
        <v>38</v>
      </c>
      <c r="D8" s="39" t="n">
        <v>92.83</v>
      </c>
      <c r="E8" s="26" t="n">
        <v>33000</v>
      </c>
      <c r="F8" s="25"/>
      <c r="G8" s="25"/>
      <c r="H8" s="27" t="n">
        <f aca="false">Tabelle!F117</f>
        <v>0.287</v>
      </c>
      <c r="I8" s="2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24" t="n">
        <v>2024</v>
      </c>
      <c r="B9" s="24" t="n">
        <v>8</v>
      </c>
      <c r="C9" s="25" t="s">
        <v>38</v>
      </c>
      <c r="D9" s="39" t="n">
        <v>0</v>
      </c>
      <c r="E9" s="26" t="n">
        <v>0</v>
      </c>
      <c r="F9" s="25"/>
      <c r="G9" s="25"/>
      <c r="H9" s="27" t="n">
        <f aca="false">Tabelle!F118</f>
        <v>0.3047</v>
      </c>
      <c r="I9" s="2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24" t="n">
        <v>2024</v>
      </c>
      <c r="B10" s="24" t="n">
        <v>9</v>
      </c>
      <c r="C10" s="25" t="s">
        <v>38</v>
      </c>
      <c r="D10" s="39" t="n">
        <v>20.83</v>
      </c>
      <c r="E10" s="26" t="n">
        <v>4500</v>
      </c>
      <c r="F10" s="25"/>
      <c r="G10" s="25"/>
      <c r="H10" s="27" t="n">
        <f aca="false">Tabelle!F119</f>
        <v>0.2904</v>
      </c>
      <c r="I10" s="2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24" t="n">
        <v>2024</v>
      </c>
      <c r="B11" s="24" t="n">
        <v>10</v>
      </c>
      <c r="C11" s="25" t="s">
        <v>38</v>
      </c>
      <c r="D11" s="39" t="n">
        <v>5.2</v>
      </c>
      <c r="E11" s="30" t="n">
        <v>1970</v>
      </c>
      <c r="F11" s="25"/>
      <c r="G11" s="25"/>
      <c r="H11" s="27" t="n">
        <f aca="false">Tabelle!F120</f>
        <v>0.2856</v>
      </c>
      <c r="I11" s="2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24" t="n">
        <v>2024</v>
      </c>
      <c r="B12" s="24" t="n">
        <v>11</v>
      </c>
      <c r="C12" s="25" t="s">
        <v>38</v>
      </c>
      <c r="D12" s="11"/>
      <c r="E12" s="26"/>
      <c r="F12" s="11"/>
      <c r="G12" s="25"/>
      <c r="H12" s="27" t="n">
        <f aca="false">Tabelle!F121</f>
        <v>0.307</v>
      </c>
      <c r="I12" s="31" t="n">
        <f aca="false">F12*H12</f>
        <v>0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24" t="n">
        <v>2024</v>
      </c>
      <c r="B13" s="24" t="n">
        <v>12</v>
      </c>
      <c r="C13" s="25" t="s">
        <v>38</v>
      </c>
      <c r="D13" s="11"/>
      <c r="E13" s="10"/>
      <c r="F13" s="11"/>
      <c r="G13" s="25"/>
      <c r="H13" s="27" t="n">
        <f aca="false">Tabelle!F122</f>
        <v>0.331</v>
      </c>
      <c r="I13" s="31" t="n">
        <f aca="false">F13*H13</f>
        <v>0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29" t="n">
        <v>2025</v>
      </c>
      <c r="B14" s="29" t="n">
        <v>1</v>
      </c>
      <c r="C14" s="25" t="s">
        <v>38</v>
      </c>
      <c r="D14" s="11"/>
      <c r="E14" s="10"/>
      <c r="F14" s="11"/>
      <c r="G14" s="25"/>
      <c r="H14" s="27" t="n">
        <f aca="false">Tabelle!F123</f>
        <v>0.335</v>
      </c>
      <c r="I14" s="31" t="n">
        <f aca="false">F14*H14</f>
        <v>0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29" t="n">
        <v>2025</v>
      </c>
      <c r="B15" s="29" t="n">
        <v>2</v>
      </c>
      <c r="C15" s="25" t="s">
        <v>38</v>
      </c>
      <c r="D15" s="11"/>
      <c r="E15" s="10"/>
      <c r="F15" s="11"/>
      <c r="G15" s="25"/>
      <c r="H15" s="27" t="n">
        <f aca="false">Tabelle!F124</f>
        <v>0.334</v>
      </c>
      <c r="I15" s="31" t="n">
        <f aca="false">F15*H15</f>
        <v>0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29" t="n">
        <v>2025</v>
      </c>
      <c r="B16" s="29" t="n">
        <v>3</v>
      </c>
      <c r="C16" s="25" t="s">
        <v>38</v>
      </c>
      <c r="D16" s="11"/>
      <c r="E16" s="10"/>
      <c r="F16" s="11"/>
      <c r="G16" s="25"/>
      <c r="H16" s="27" t="n">
        <f aca="false">Tabelle!F125</f>
        <v>0.286</v>
      </c>
      <c r="I16" s="31" t="n">
        <f aca="false">F16*H16</f>
        <v>0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29" t="n">
        <v>2025</v>
      </c>
      <c r="B17" s="29" t="n">
        <v>4</v>
      </c>
      <c r="C17" s="25" t="s">
        <v>38</v>
      </c>
      <c r="D17" s="11"/>
      <c r="E17" s="10"/>
      <c r="F17" s="11"/>
      <c r="G17" s="25"/>
      <c r="H17" s="27" t="n">
        <f aca="false">Tabelle!F126</f>
        <v>0.2655</v>
      </c>
      <c r="I17" s="31" t="n">
        <f aca="false">F17*H17</f>
        <v>0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29" t="n">
        <v>2025</v>
      </c>
      <c r="B18" s="29" t="n">
        <v>5</v>
      </c>
      <c r="C18" s="25" t="s">
        <v>38</v>
      </c>
      <c r="D18" s="11"/>
      <c r="E18" s="10"/>
      <c r="F18" s="11"/>
      <c r="G18" s="25"/>
      <c r="H18" s="27" t="n">
        <f aca="false">Tabelle!F127</f>
        <v>0.2575</v>
      </c>
      <c r="I18" s="31" t="n">
        <f aca="false">F18*H18</f>
        <v>0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29" t="n">
        <v>2025</v>
      </c>
      <c r="B19" s="29" t="n">
        <v>6</v>
      </c>
      <c r="C19" s="25" t="s">
        <v>38</v>
      </c>
      <c r="D19" s="11"/>
      <c r="E19" s="10"/>
      <c r="F19" s="11"/>
      <c r="G19" s="25"/>
      <c r="H19" s="27" t="n">
        <f aca="false">Tabelle!F128</f>
        <v>0.355</v>
      </c>
      <c r="I19" s="31" t="n">
        <f aca="false">F19*H19</f>
        <v>0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29" t="n">
        <v>2025</v>
      </c>
      <c r="B20" s="29" t="n">
        <v>7</v>
      </c>
      <c r="C20" s="25" t="s">
        <v>38</v>
      </c>
      <c r="D20" s="11"/>
      <c r="E20" s="10"/>
      <c r="F20" s="11"/>
      <c r="G20" s="25"/>
      <c r="H20" s="27" t="n">
        <f aca="false">Tabelle!F129</f>
        <v>0.296</v>
      </c>
      <c r="I20" s="31" t="n">
        <f aca="false">F20*H20</f>
        <v>0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29" t="n">
        <v>2025</v>
      </c>
      <c r="B21" s="29" t="n">
        <v>8</v>
      </c>
      <c r="C21" s="25" t="s">
        <v>38</v>
      </c>
      <c r="D21" s="39"/>
      <c r="E21" s="26"/>
      <c r="F21" s="25"/>
      <c r="G21" s="25"/>
      <c r="H21" s="27" t="n">
        <f aca="false">Tabelle!F130</f>
        <v>0.3268</v>
      </c>
      <c r="I21" s="31" t="n">
        <f aca="false">F21*H21</f>
        <v>0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29" t="n">
        <v>2025</v>
      </c>
      <c r="B22" s="29" t="n">
        <v>9</v>
      </c>
      <c r="C22" s="25" t="s">
        <v>38</v>
      </c>
      <c r="D22" s="39" t="n">
        <v>0</v>
      </c>
      <c r="E22" s="26" t="n">
        <v>0</v>
      </c>
      <c r="F22" s="25"/>
      <c r="G22" s="25"/>
      <c r="H22" s="27" t="n">
        <f aca="false">Tabelle!F131</f>
        <v>0.2732</v>
      </c>
      <c r="I22" s="25"/>
      <c r="J22" s="6" t="n">
        <f aca="false">Tabelle!B131</f>
        <v>47214</v>
      </c>
      <c r="K22" s="8" t="n">
        <f aca="false">Tabelle!G108</f>
        <v>0</v>
      </c>
    </row>
    <row r="23" customFormat="false" ht="15" hidden="false" customHeight="false" outlineLevel="0" collapsed="false">
      <c r="A23" s="29" t="n">
        <v>2025</v>
      </c>
      <c r="B23" s="29" t="n">
        <v>10</v>
      </c>
      <c r="C23" s="25" t="s">
        <v>38</v>
      </c>
      <c r="D23" s="39" t="n">
        <v>0</v>
      </c>
      <c r="E23" s="26" t="n">
        <v>0</v>
      </c>
      <c r="F23" s="25"/>
      <c r="G23" s="25"/>
      <c r="H23" s="27" t="n">
        <f aca="false">Tabelle!F132</f>
        <v>0.2134</v>
      </c>
      <c r="I23" s="25"/>
      <c r="J23" s="6" t="n">
        <f aca="false">Tabelle!B132</f>
        <v>47533</v>
      </c>
      <c r="K23" s="8" t="n">
        <f aca="false">Tabelle!G110</f>
        <v>0</v>
      </c>
    </row>
    <row r="24" customFormat="false" ht="15" hidden="false" customHeight="false" outlineLevel="0" collapsed="false">
      <c r="A24" s="29" t="n">
        <v>2025</v>
      </c>
      <c r="B24" s="29" t="n">
        <v>11</v>
      </c>
      <c r="C24" s="25" t="s">
        <v>38</v>
      </c>
      <c r="D24" s="39"/>
      <c r="E24" s="26"/>
      <c r="F24" s="25"/>
      <c r="G24" s="25"/>
      <c r="H24" s="27" t="n">
        <f aca="false">Tabelle!F133</f>
        <v>0.2261</v>
      </c>
      <c r="I24" s="2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29" t="n">
        <v>2025</v>
      </c>
      <c r="B25" s="29" t="n">
        <v>12</v>
      </c>
      <c r="C25" s="25" t="s">
        <v>38</v>
      </c>
      <c r="D25" s="39"/>
      <c r="E25" s="26"/>
      <c r="F25" s="25"/>
      <c r="G25" s="25"/>
      <c r="H25" s="27" t="n">
        <f aca="false">Tabelle!F134</f>
        <v>0</v>
      </c>
      <c r="I25" s="2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57"/>
    <col collapsed="false" customWidth="true" hidden="false" outlineLevel="0" max="4" min="4" style="0" width="23.72"/>
    <col collapsed="false" customWidth="true" hidden="false" outlineLevel="0" max="5" min="5" style="0" width="13.43"/>
    <col collapsed="false" customWidth="true" hidden="false" outlineLevel="0" max="8" min="8" style="0" width="12.86"/>
    <col collapsed="false" customWidth="true" hidden="false" outlineLevel="0" max="9" min="9" style="0" width="14.57"/>
    <col collapsed="false" customWidth="true" hidden="false" outlineLevel="0" max="10" min="10" style="0" width="21.29"/>
    <col collapsed="false" customWidth="true" hidden="false" outlineLevel="0" max="11" min="11" style="0" width="24.14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39</v>
      </c>
      <c r="D2" s="6" t="n">
        <v>29.92</v>
      </c>
      <c r="E2" s="6" t="n">
        <v>4000</v>
      </c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39</v>
      </c>
      <c r="D3" s="6" t="n">
        <v>43</v>
      </c>
      <c r="E3" s="6" t="n">
        <v>51840</v>
      </c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39</v>
      </c>
      <c r="D4" s="6" t="n">
        <v>171.23</v>
      </c>
      <c r="E4" s="6" t="n">
        <v>45252</v>
      </c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39</v>
      </c>
      <c r="D5" s="6" t="n">
        <v>196.26</v>
      </c>
      <c r="E5" s="6" t="n">
        <v>92812</v>
      </c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39</v>
      </c>
      <c r="D6" s="6" t="n">
        <v>172.31</v>
      </c>
      <c r="E6" s="6" t="n">
        <v>116091</v>
      </c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39</v>
      </c>
      <c r="D7" s="6" t="n">
        <v>77.91</v>
      </c>
      <c r="E7" s="6" t="n">
        <v>53400</v>
      </c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39</v>
      </c>
      <c r="D8" s="6" t="n">
        <v>148.85</v>
      </c>
      <c r="E8" s="6" t="n">
        <v>62642</v>
      </c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39</v>
      </c>
      <c r="D9" s="6" t="n">
        <v>111.53</v>
      </c>
      <c r="E9" s="6" t="n">
        <v>68332</v>
      </c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39</v>
      </c>
      <c r="D10" s="6" t="n">
        <v>43.69</v>
      </c>
      <c r="E10" s="6" t="n">
        <v>23528</v>
      </c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39</v>
      </c>
      <c r="D11" s="6" t="n">
        <v>91.06</v>
      </c>
      <c r="E11" s="9" t="n">
        <v>52681</v>
      </c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39</v>
      </c>
      <c r="D12" s="11" t="n">
        <f aca="false">Tabelle!AB20</f>
        <v>96.7</v>
      </c>
      <c r="E12" s="6" t="n">
        <f aca="false">Tabelle!AB36</f>
        <v>62726</v>
      </c>
      <c r="F12" s="11" t="n">
        <f aca="false">Tabelle!AB4</f>
        <v>534.46</v>
      </c>
      <c r="G12" s="5"/>
      <c r="H12" s="20" t="n">
        <f aca="false">Tabelle!F121</f>
        <v>0.307</v>
      </c>
      <c r="I12" s="12" t="n">
        <f aca="false">F12*H12</f>
        <v>164.07922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39</v>
      </c>
      <c r="D13" s="11" t="n">
        <f aca="false">Tabelle!AB21</f>
        <v>72.1</v>
      </c>
      <c r="E13" s="6" t="n">
        <f aca="false">Tabelle!AB37</f>
        <v>30052</v>
      </c>
      <c r="F13" s="11" t="n">
        <f aca="false">Tabelle!AB5</f>
        <v>365.86</v>
      </c>
      <c r="G13" s="5"/>
      <c r="H13" s="20" t="n">
        <f aca="false">Tabelle!F122</f>
        <v>0.331</v>
      </c>
      <c r="I13" s="12" t="n">
        <f aca="false">F13*H13</f>
        <v>121.09966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39</v>
      </c>
      <c r="D14" s="11" t="n">
        <f aca="false">Tabelle!AB22</f>
        <v>60.2</v>
      </c>
      <c r="E14" s="6" t="n">
        <f aca="false">Tabelle!AB38</f>
        <v>33464</v>
      </c>
      <c r="F14" s="11" t="n">
        <f aca="false">Tabelle!AB6</f>
        <v>354.55</v>
      </c>
      <c r="G14" s="5"/>
      <c r="H14" s="20" t="n">
        <f aca="false">Tabelle!F123</f>
        <v>0.335</v>
      </c>
      <c r="I14" s="12" t="n">
        <f aca="false">F14*H14</f>
        <v>118.77425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39</v>
      </c>
      <c r="D15" s="11" t="n">
        <f aca="false">Tabelle!AB23</f>
        <v>87.3</v>
      </c>
      <c r="E15" s="6" t="n">
        <f aca="false">Tabelle!AB39</f>
        <v>49428</v>
      </c>
      <c r="F15" s="11" t="n">
        <f aca="false">Tabelle!AB7</f>
        <v>478.04</v>
      </c>
      <c r="G15" s="5"/>
      <c r="H15" s="20" t="n">
        <f aca="false">Tabelle!F124</f>
        <v>0.334</v>
      </c>
      <c r="I15" s="12" t="n">
        <f aca="false">F15*H15</f>
        <v>159.66536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39</v>
      </c>
      <c r="D16" s="11" t="n">
        <f aca="false">Tabelle!AB24</f>
        <v>83.4</v>
      </c>
      <c r="E16" s="6" t="n">
        <f aca="false">Tabelle!AB40</f>
        <v>54715</v>
      </c>
      <c r="F16" s="11" t="n">
        <f aca="false">Tabelle!AB8</f>
        <v>491.07</v>
      </c>
      <c r="G16" s="5"/>
      <c r="H16" s="20" t="n">
        <f aca="false">Tabelle!F125</f>
        <v>0.286</v>
      </c>
      <c r="I16" s="12" t="n">
        <f aca="false">F16*H16</f>
        <v>140.44602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39</v>
      </c>
      <c r="D17" s="11" t="n">
        <f aca="false">Tabelle!AB25</f>
        <v>93.2</v>
      </c>
      <c r="E17" s="6" t="n">
        <f aca="false">Tabelle!AB41</f>
        <v>66697</v>
      </c>
      <c r="F17" s="11" t="n">
        <f aca="false">Tabelle!AB9</f>
        <v>526.98</v>
      </c>
      <c r="G17" s="5"/>
      <c r="H17" s="20" t="n">
        <f aca="false">Tabelle!F126</f>
        <v>0.2655</v>
      </c>
      <c r="I17" s="12" t="n">
        <f aca="false">F17*H17</f>
        <v>139.91319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39</v>
      </c>
      <c r="D18" s="11" t="n">
        <f aca="false">Tabelle!AB26</f>
        <v>68.5</v>
      </c>
      <c r="E18" s="6" t="n">
        <f aca="false">Tabelle!AB42</f>
        <v>28642</v>
      </c>
      <c r="F18" s="11" t="n">
        <f aca="false">Tabelle!AB10</f>
        <v>288.94</v>
      </c>
      <c r="G18" s="5"/>
      <c r="H18" s="20" t="n">
        <f aca="false">Tabelle!F127</f>
        <v>0.2575</v>
      </c>
      <c r="I18" s="12" t="n">
        <f aca="false">F18*H18</f>
        <v>74.40205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39</v>
      </c>
      <c r="D19" s="11" t="n">
        <f aca="false">Tabelle!AB27</f>
        <v>367.4</v>
      </c>
      <c r="E19" s="6" t="n">
        <f aca="false">Tabelle!AB43</f>
        <v>7844</v>
      </c>
      <c r="F19" s="11" t="n">
        <f aca="false">Tabelle!AB11</f>
        <v>72.52</v>
      </c>
      <c r="G19" s="5"/>
      <c r="H19" s="20" t="n">
        <f aca="false">Tabelle!F128</f>
        <v>0.355</v>
      </c>
      <c r="I19" s="12" t="n">
        <f aca="false">F19*H19</f>
        <v>25.7446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39</v>
      </c>
      <c r="D20" s="11" t="n">
        <f aca="false">Tabelle!AB28</f>
        <v>5.2</v>
      </c>
      <c r="E20" s="6" t="n">
        <f aca="false">Tabelle!AB44</f>
        <v>2000</v>
      </c>
      <c r="F20" s="11" t="n">
        <f aca="false">Tabelle!AB12</f>
        <v>45.5300000000002</v>
      </c>
      <c r="G20" s="5"/>
      <c r="H20" s="20" t="n">
        <f aca="false">Tabelle!F129</f>
        <v>0.296</v>
      </c>
      <c r="I20" s="12" t="n">
        <f aca="false">F20*H20</f>
        <v>13.4768800000001</v>
      </c>
      <c r="J20" s="6" t="n">
        <f aca="false">Tabelle!B129</f>
        <v>51483</v>
      </c>
      <c r="K20" s="8" t="n">
        <f aca="false">Tabelle!G103</f>
        <v>15262.33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39</v>
      </c>
      <c r="D21" s="11" t="n">
        <f aca="false">Tabelle!AB29</f>
        <v>2.83</v>
      </c>
      <c r="E21" s="6" t="n">
        <f aca="false">Tabelle!AB45</f>
        <v>2266</v>
      </c>
      <c r="F21" s="11" t="n">
        <f aca="false">Tabelle!AB13</f>
        <v>16.06</v>
      </c>
      <c r="G21" s="5"/>
      <c r="H21" s="20" t="n">
        <f aca="false">Tabelle!F130</f>
        <v>0.3268</v>
      </c>
      <c r="I21" s="12" t="n">
        <f aca="false">F21*H21</f>
        <v>5.24840799999998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39</v>
      </c>
      <c r="D22" s="11" t="n">
        <f aca="false">Tabelle!AB30</f>
        <v>9.03</v>
      </c>
      <c r="E22" s="6" t="n">
        <f aca="false">Tabelle!AB46</f>
        <v>5308</v>
      </c>
      <c r="F22" s="11" t="n">
        <f aca="false">Tabelle!AB14</f>
        <v>113.23</v>
      </c>
      <c r="G22" s="5"/>
      <c r="H22" s="20" t="n">
        <f aca="false">Tabelle!F131</f>
        <v>0.2732</v>
      </c>
      <c r="I22" s="12" t="n">
        <f aca="false">F22*H22</f>
        <v>30.934436</v>
      </c>
      <c r="J22" s="6" t="n">
        <f aca="false">Tabelle!B131</f>
        <v>47214</v>
      </c>
      <c r="K22" s="8" t="n">
        <f aca="false">Tabelle!G108</f>
        <v>0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39</v>
      </c>
      <c r="D23" s="11" t="n">
        <f aca="false">Tabelle!AB31</f>
        <v>0</v>
      </c>
      <c r="E23" s="6" t="n">
        <f aca="false">Tabelle!AB47</f>
        <v>0</v>
      </c>
      <c r="F23" s="11" t="n">
        <f aca="false">Tabelle!AB15</f>
        <v>294.76</v>
      </c>
      <c r="G23" s="5"/>
      <c r="H23" s="20" t="n">
        <f aca="false">Tabelle!F132</f>
        <v>0.2134</v>
      </c>
      <c r="I23" s="12" t="n">
        <f aca="false">F23*H23</f>
        <v>62.9017840000001</v>
      </c>
      <c r="J23" s="6" t="n">
        <f aca="false">Tabelle!B132</f>
        <v>47533</v>
      </c>
      <c r="K23" s="8" t="n">
        <f aca="false">Tabelle!G110</f>
        <v>0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39</v>
      </c>
      <c r="D24" s="5"/>
      <c r="E24" s="5"/>
      <c r="F24" s="5"/>
      <c r="G24" s="5"/>
      <c r="H24" s="20" t="n">
        <f aca="false">Tabelle!F133</f>
        <v>0.2261</v>
      </c>
      <c r="I24" s="12" t="n">
        <f aca="false">F24*H24</f>
        <v>0</v>
      </c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39</v>
      </c>
      <c r="D25" s="5"/>
      <c r="E25" s="5"/>
      <c r="F25" s="5"/>
      <c r="G25" s="5"/>
      <c r="H25" s="20" t="n">
        <f aca="false">Tabelle!F134</f>
        <v>0</v>
      </c>
      <c r="I25" s="12" t="n">
        <f aca="false">F25*H25</f>
        <v>0</v>
      </c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9.86"/>
    <col collapsed="false" customWidth="true" hidden="false" outlineLevel="0" max="4" min="4" style="0" width="24"/>
    <col collapsed="false" customWidth="true" hidden="false" outlineLevel="0" max="5" min="5" style="0" width="13.43"/>
    <col collapsed="false" customWidth="true" hidden="false" outlineLevel="0" max="6" min="6" style="0" width="9.71"/>
    <col collapsed="false" customWidth="true" hidden="false" outlineLevel="0" max="7" min="7" style="0" width="14"/>
    <col collapsed="false" customWidth="true" hidden="false" outlineLevel="0" max="8" min="8" style="0" width="13.29"/>
    <col collapsed="false" customWidth="true" hidden="false" outlineLevel="0" max="9" min="9" style="0" width="15.15"/>
    <col collapsed="false" customWidth="true" hidden="false" outlineLevel="0" max="10" min="10" style="0" width="19.57"/>
    <col collapsed="false" customWidth="true" hidden="false" outlineLevel="0" max="11" min="11" style="0" width="13.86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3" t="s">
        <v>50</v>
      </c>
      <c r="K1" s="3" t="s">
        <v>51</v>
      </c>
    </row>
    <row r="2" customFormat="false" ht="15" hidden="false" customHeight="false" outlineLevel="0" collapsed="false">
      <c r="A2" s="4" t="n">
        <v>2024</v>
      </c>
      <c r="B2" s="4" t="n">
        <v>1</v>
      </c>
      <c r="C2" s="5" t="s">
        <v>40</v>
      </c>
      <c r="D2" s="6"/>
      <c r="E2" s="6"/>
      <c r="F2" s="5"/>
      <c r="G2" s="5"/>
      <c r="H2" s="20" t="n">
        <f aca="false">Tabelle!F111</f>
        <v>0.2557</v>
      </c>
      <c r="I2" s="5"/>
      <c r="J2" s="6" t="n">
        <f aca="false">Tabelle!B111</f>
        <v>64934</v>
      </c>
      <c r="K2" s="8" t="n">
        <f aca="false">Tabelle!G85</f>
        <v>16601.39</v>
      </c>
    </row>
    <row r="3" customFormat="false" ht="15" hidden="false" customHeight="false" outlineLevel="0" collapsed="false">
      <c r="A3" s="4" t="n">
        <v>2024</v>
      </c>
      <c r="B3" s="4" t="n">
        <v>2</v>
      </c>
      <c r="C3" s="5" t="s">
        <v>40</v>
      </c>
      <c r="D3" s="6"/>
      <c r="E3" s="6"/>
      <c r="F3" s="5"/>
      <c r="G3" s="5"/>
      <c r="H3" s="20" t="n">
        <f aca="false">Tabelle!F112</f>
        <v>0.2378</v>
      </c>
      <c r="I3" s="5"/>
      <c r="J3" s="6" t="n">
        <f aca="false">Tabelle!B112</f>
        <v>71197</v>
      </c>
      <c r="K3" s="8" t="n">
        <f aca="false">Tabelle!G86</f>
        <v>16934</v>
      </c>
    </row>
    <row r="4" customFormat="false" ht="15" hidden="false" customHeight="false" outlineLevel="0" collapsed="false">
      <c r="A4" s="4" t="n">
        <v>2024</v>
      </c>
      <c r="B4" s="4" t="n">
        <v>3</v>
      </c>
      <c r="C4" s="5" t="s">
        <v>40</v>
      </c>
      <c r="D4" s="6"/>
      <c r="E4" s="6"/>
      <c r="F4" s="5"/>
      <c r="G4" s="5"/>
      <c r="H4" s="20" t="n">
        <f aca="false">Tabelle!F113</f>
        <v>0.2428</v>
      </c>
      <c r="I4" s="5"/>
      <c r="J4" s="6" t="n">
        <f aca="false">Tabelle!B113</f>
        <v>51152</v>
      </c>
      <c r="K4" s="8" t="n">
        <f aca="false">Tabelle!G87</f>
        <v>12419.74</v>
      </c>
    </row>
    <row r="5" customFormat="false" ht="15" hidden="false" customHeight="false" outlineLevel="0" collapsed="false">
      <c r="A5" s="4" t="n">
        <v>2024</v>
      </c>
      <c r="B5" s="4" t="n">
        <v>4</v>
      </c>
      <c r="C5" s="5" t="s">
        <v>40</v>
      </c>
      <c r="D5" s="6"/>
      <c r="E5" s="6"/>
      <c r="F5" s="5"/>
      <c r="G5" s="5"/>
      <c r="H5" s="20" t="n">
        <f aca="false">Tabelle!F114</f>
        <v>0.2416</v>
      </c>
      <c r="I5" s="5"/>
      <c r="J5" s="6" t="n">
        <f aca="false">Tabelle!B114</f>
        <v>45316</v>
      </c>
      <c r="K5" s="8" t="n">
        <f aca="false">Tabelle!G88</f>
        <v>10948.47</v>
      </c>
    </row>
    <row r="6" customFormat="false" ht="15" hidden="false" customHeight="false" outlineLevel="0" collapsed="false">
      <c r="A6" s="4" t="n">
        <v>2024</v>
      </c>
      <c r="B6" s="4" t="n">
        <v>5</v>
      </c>
      <c r="C6" s="5" t="s">
        <v>40</v>
      </c>
      <c r="D6" s="6"/>
      <c r="E6" s="6"/>
      <c r="F6" s="5"/>
      <c r="G6" s="5"/>
      <c r="H6" s="20" t="n">
        <f aca="false">Tabelle!F115</f>
        <v>0.2507</v>
      </c>
      <c r="I6" s="5"/>
      <c r="J6" s="6" t="n">
        <f aca="false">Tabelle!B115</f>
        <v>51330</v>
      </c>
      <c r="K6" s="8" t="n">
        <f aca="false">Tabelle!G89</f>
        <v>12868.58</v>
      </c>
    </row>
    <row r="7" customFormat="false" ht="15" hidden="false" customHeight="false" outlineLevel="0" collapsed="false">
      <c r="A7" s="4" t="n">
        <v>2024</v>
      </c>
      <c r="B7" s="4" t="n">
        <v>6</v>
      </c>
      <c r="C7" s="5" t="s">
        <v>40</v>
      </c>
      <c r="D7" s="6"/>
      <c r="E7" s="6"/>
      <c r="F7" s="5"/>
      <c r="G7" s="5"/>
      <c r="H7" s="20" t="n">
        <f aca="false">Tabelle!F116</f>
        <v>0.2722</v>
      </c>
      <c r="I7" s="5"/>
      <c r="J7" s="6" t="n">
        <f aca="false">Tabelle!B116</f>
        <v>42151</v>
      </c>
      <c r="K7" s="8" t="n">
        <f aca="false">Tabelle!G90</f>
        <v>11473.9</v>
      </c>
    </row>
    <row r="8" customFormat="false" ht="15" hidden="false" customHeight="false" outlineLevel="0" collapsed="false">
      <c r="A8" s="4" t="n">
        <v>2024</v>
      </c>
      <c r="B8" s="4" t="n">
        <v>7</v>
      </c>
      <c r="C8" s="5" t="s">
        <v>40</v>
      </c>
      <c r="D8" s="6"/>
      <c r="E8" s="6"/>
      <c r="F8" s="5"/>
      <c r="G8" s="5"/>
      <c r="H8" s="20" t="n">
        <f aca="false">Tabelle!F117</f>
        <v>0.287</v>
      </c>
      <c r="I8" s="5"/>
      <c r="J8" s="6" t="n">
        <f aca="false">Tabelle!B117</f>
        <v>67581</v>
      </c>
      <c r="K8" s="8" t="n">
        <f aca="false">Tabelle!G91</f>
        <v>19396.73</v>
      </c>
    </row>
    <row r="9" customFormat="false" ht="15" hidden="false" customHeight="false" outlineLevel="0" collapsed="false">
      <c r="A9" s="4" t="n">
        <v>2024</v>
      </c>
      <c r="B9" s="4" t="n">
        <v>8</v>
      </c>
      <c r="C9" s="5" t="s">
        <v>40</v>
      </c>
      <c r="D9" s="6"/>
      <c r="E9" s="6"/>
      <c r="F9" s="5"/>
      <c r="G9" s="5"/>
      <c r="H9" s="20" t="n">
        <f aca="false">Tabelle!F118</f>
        <v>0.3047</v>
      </c>
      <c r="I9" s="5"/>
      <c r="J9" s="6" t="n">
        <f aca="false">Tabelle!B118</f>
        <v>44796</v>
      </c>
      <c r="K9" s="8" t="n">
        <f aca="false">Tabelle!G92</f>
        <v>13651.04</v>
      </c>
    </row>
    <row r="10" customFormat="false" ht="15" hidden="false" customHeight="false" outlineLevel="0" collapsed="false">
      <c r="A10" s="4" t="n">
        <v>2024</v>
      </c>
      <c r="B10" s="4" t="n">
        <v>9</v>
      </c>
      <c r="C10" s="5" t="s">
        <v>40</v>
      </c>
      <c r="D10" s="6"/>
      <c r="E10" s="6"/>
      <c r="F10" s="5"/>
      <c r="G10" s="5"/>
      <c r="H10" s="20" t="n">
        <f aca="false">Tabelle!F119</f>
        <v>0.2904</v>
      </c>
      <c r="I10" s="5"/>
      <c r="J10" s="6" t="n">
        <f aca="false">Tabelle!B119</f>
        <v>52599</v>
      </c>
      <c r="K10" s="8" t="n">
        <f aca="false">Tabelle!G93</f>
        <v>15277.15</v>
      </c>
    </row>
    <row r="11" customFormat="false" ht="15" hidden="false" customHeight="false" outlineLevel="0" collapsed="false">
      <c r="A11" s="4" t="n">
        <v>2024</v>
      </c>
      <c r="B11" s="4" t="n">
        <v>10</v>
      </c>
      <c r="C11" s="5" t="s">
        <v>40</v>
      </c>
      <c r="D11" s="6"/>
      <c r="E11" s="9"/>
      <c r="F11" s="5"/>
      <c r="G11" s="5"/>
      <c r="H11" s="20" t="n">
        <f aca="false">Tabelle!F120</f>
        <v>0.2856</v>
      </c>
      <c r="I11" s="5"/>
      <c r="J11" s="6" t="n">
        <f aca="false">Tabelle!B120</f>
        <v>54362</v>
      </c>
      <c r="K11" s="8" t="n">
        <f aca="false">Tabelle!G94</f>
        <v>15523.99</v>
      </c>
    </row>
    <row r="12" customFormat="false" ht="15" hidden="false" customHeight="false" outlineLevel="0" collapsed="false">
      <c r="A12" s="4" t="n">
        <v>2024</v>
      </c>
      <c r="B12" s="4" t="n">
        <v>11</v>
      </c>
      <c r="C12" s="5" t="s">
        <v>40</v>
      </c>
      <c r="D12" s="11"/>
      <c r="E12" s="6"/>
      <c r="F12" s="10" t="n">
        <v>10989.38</v>
      </c>
      <c r="G12" s="40" t="n">
        <v>10989.38</v>
      </c>
      <c r="H12" s="20" t="n">
        <f aca="false">Tabelle!F121</f>
        <v>0.307</v>
      </c>
      <c r="I12" s="12" t="n">
        <f aca="false">G12*H12</f>
        <v>3373.73966</v>
      </c>
      <c r="J12" s="6" t="n">
        <f aca="false">Tabelle!B121</f>
        <v>64157</v>
      </c>
      <c r="K12" s="8" t="n">
        <f aca="false">Tabelle!G95</f>
        <v>19751.41</v>
      </c>
    </row>
    <row r="13" customFormat="false" ht="15" hidden="false" customHeight="false" outlineLevel="0" collapsed="false">
      <c r="A13" s="4" t="n">
        <v>2024</v>
      </c>
      <c r="B13" s="4" t="n">
        <v>12</v>
      </c>
      <c r="C13" s="5" t="s">
        <v>40</v>
      </c>
      <c r="D13" s="11"/>
      <c r="E13" s="6"/>
      <c r="F13" s="10" t="n">
        <v>8629.26</v>
      </c>
      <c r="G13" s="40" t="n">
        <v>8629.26</v>
      </c>
      <c r="H13" s="20" t="n">
        <f aca="false">Tabelle!F122</f>
        <v>0.331</v>
      </c>
      <c r="I13" s="12" t="n">
        <f aca="false">G13*H13</f>
        <v>2856.28506</v>
      </c>
      <c r="J13" s="6" t="n">
        <f aca="false">Tabelle!B122</f>
        <v>51593</v>
      </c>
      <c r="K13" s="8" t="n">
        <f aca="false">Tabelle!G96</f>
        <v>17063.94</v>
      </c>
    </row>
    <row r="14" customFormat="false" ht="15" hidden="false" customHeight="false" outlineLevel="0" collapsed="false">
      <c r="A14" s="13" t="n">
        <v>2025</v>
      </c>
      <c r="B14" s="13" t="n">
        <v>1</v>
      </c>
      <c r="C14" s="5" t="s">
        <v>40</v>
      </c>
      <c r="D14" s="11"/>
      <c r="E14" s="6"/>
      <c r="F14" s="10" t="n">
        <v>8829.13</v>
      </c>
      <c r="G14" s="40" t="n">
        <v>8829.13</v>
      </c>
      <c r="H14" s="20" t="n">
        <f aca="false">Tabelle!F123</f>
        <v>0.335</v>
      </c>
      <c r="I14" s="12" t="n">
        <f aca="false">G14*H14</f>
        <v>2957.75855</v>
      </c>
      <c r="J14" s="6" t="n">
        <f aca="false">Tabelle!B123</f>
        <v>61904</v>
      </c>
      <c r="K14" s="8" t="n">
        <f aca="false">Tabelle!G97</f>
        <v>20875.39</v>
      </c>
    </row>
    <row r="15" customFormat="false" ht="15" hidden="false" customHeight="false" outlineLevel="0" collapsed="false">
      <c r="A15" s="13" t="n">
        <v>2025</v>
      </c>
      <c r="B15" s="13" t="n">
        <v>2</v>
      </c>
      <c r="C15" s="5" t="s">
        <v>40</v>
      </c>
      <c r="D15" s="11"/>
      <c r="E15" s="6"/>
      <c r="F15" s="10" t="n">
        <v>9123.83</v>
      </c>
      <c r="G15" s="40" t="n">
        <v>9123.83</v>
      </c>
      <c r="H15" s="20" t="n">
        <f aca="false">Tabelle!F124</f>
        <v>0.334</v>
      </c>
      <c r="I15" s="12" t="n">
        <f aca="false">G15*H15</f>
        <v>3047.35922</v>
      </c>
      <c r="J15" s="6" t="n">
        <f aca="false">Tabelle!B124</f>
        <v>60366</v>
      </c>
      <c r="K15" s="8" t="n">
        <f aca="false">Tabelle!G98</f>
        <v>20173.7</v>
      </c>
    </row>
    <row r="16" customFormat="false" ht="15" hidden="false" customHeight="false" outlineLevel="0" collapsed="false">
      <c r="A16" s="13" t="n">
        <v>2025</v>
      </c>
      <c r="B16" s="13" t="n">
        <v>3</v>
      </c>
      <c r="C16" s="5" t="s">
        <v>40</v>
      </c>
      <c r="D16" s="11"/>
      <c r="E16" s="6"/>
      <c r="F16" s="10" t="n">
        <v>10190.92</v>
      </c>
      <c r="G16" s="40" t="n">
        <v>10190.92</v>
      </c>
      <c r="H16" s="20" t="n">
        <f aca="false">Tabelle!F125</f>
        <v>0.286</v>
      </c>
      <c r="I16" s="12" t="n">
        <f aca="false">G16*H16</f>
        <v>2914.60312</v>
      </c>
      <c r="J16" s="6" t="n">
        <f aca="false">Tabelle!B125</f>
        <v>58209</v>
      </c>
      <c r="K16" s="8" t="n">
        <f aca="false">Tabelle!G99</f>
        <v>16648.58</v>
      </c>
    </row>
    <row r="17" customFormat="false" ht="15" hidden="false" customHeight="false" outlineLevel="0" collapsed="false">
      <c r="A17" s="13" t="n">
        <v>2025</v>
      </c>
      <c r="B17" s="13" t="n">
        <v>4</v>
      </c>
      <c r="C17" s="5" t="s">
        <v>40</v>
      </c>
      <c r="D17" s="11"/>
      <c r="E17" s="6"/>
      <c r="F17" s="10" t="n">
        <v>8605.77</v>
      </c>
      <c r="G17" s="40" t="n">
        <v>8605.77</v>
      </c>
      <c r="H17" s="20" t="n">
        <f aca="false">Tabelle!F126</f>
        <v>0.2655</v>
      </c>
      <c r="I17" s="12" t="n">
        <f aca="false">G17*H17</f>
        <v>2284.831935</v>
      </c>
      <c r="J17" s="6" t="n">
        <f aca="false">Tabelle!B126</f>
        <v>41269</v>
      </c>
      <c r="K17" s="8" t="n">
        <f aca="false">Tabelle!G100</f>
        <v>10956.7</v>
      </c>
    </row>
    <row r="18" customFormat="false" ht="15" hidden="false" customHeight="false" outlineLevel="0" collapsed="false">
      <c r="A18" s="13" t="n">
        <v>2025</v>
      </c>
      <c r="B18" s="13" t="n">
        <v>5</v>
      </c>
      <c r="C18" s="5" t="s">
        <v>40</v>
      </c>
      <c r="D18" s="11"/>
      <c r="E18" s="6"/>
      <c r="F18" s="10" t="n">
        <v>5978.01</v>
      </c>
      <c r="G18" s="40" t="n">
        <v>5978.01</v>
      </c>
      <c r="H18" s="20" t="n">
        <f aca="false">Tabelle!F127</f>
        <v>0.2575</v>
      </c>
      <c r="I18" s="12" t="n">
        <f aca="false">G18*H18</f>
        <v>1539.337575</v>
      </c>
      <c r="J18" s="6" t="n">
        <f aca="false">Tabelle!B127</f>
        <v>30809</v>
      </c>
      <c r="K18" s="8" t="n">
        <f aca="false">Tabelle!G101</f>
        <v>7932.95</v>
      </c>
    </row>
    <row r="19" customFormat="false" ht="15" hidden="false" customHeight="false" outlineLevel="0" collapsed="false">
      <c r="A19" s="13" t="n">
        <v>2025</v>
      </c>
      <c r="B19" s="13" t="n">
        <v>6</v>
      </c>
      <c r="C19" s="5" t="s">
        <v>40</v>
      </c>
      <c r="D19" s="11"/>
      <c r="E19" s="6"/>
      <c r="F19" s="10" t="n">
        <v>6205.54</v>
      </c>
      <c r="G19" s="40" t="n">
        <v>6205.54</v>
      </c>
      <c r="H19" s="20" t="n">
        <f aca="false">Tabelle!F128</f>
        <v>0.355</v>
      </c>
      <c r="I19" s="12" t="n">
        <f aca="false">G19*H19</f>
        <v>2202.9667</v>
      </c>
      <c r="J19" s="6" t="n">
        <f aca="false">Tabelle!B128</f>
        <v>33644</v>
      </c>
      <c r="K19" s="8" t="n">
        <f aca="false">Tabelle!G102</f>
        <v>11949.42</v>
      </c>
    </row>
    <row r="20" customFormat="false" ht="15" hidden="false" customHeight="false" outlineLevel="0" collapsed="false">
      <c r="A20" s="13" t="n">
        <v>2025</v>
      </c>
      <c r="B20" s="13" t="n">
        <v>7</v>
      </c>
      <c r="C20" s="5" t="s">
        <v>40</v>
      </c>
      <c r="D20" s="11"/>
      <c r="E20" s="6"/>
      <c r="F20" s="10" t="n">
        <v>6000</v>
      </c>
      <c r="G20" s="40" t="n">
        <v>6000</v>
      </c>
      <c r="H20" s="20" t="n">
        <f aca="false">Tabelle!F129</f>
        <v>0.296</v>
      </c>
      <c r="I20" s="12" t="n">
        <f aca="false">G20*H20</f>
        <v>1776</v>
      </c>
      <c r="J20" s="6" t="n">
        <f aca="false">Tabelle!B129</f>
        <v>51483</v>
      </c>
      <c r="K20" s="8" t="n">
        <f aca="false">Tabelle!G103</f>
        <v>15262.33</v>
      </c>
      <c r="L20" s="0" t="s">
        <v>54</v>
      </c>
    </row>
    <row r="21" customFormat="false" ht="15" hidden="false" customHeight="false" outlineLevel="0" collapsed="false">
      <c r="A21" s="13" t="n">
        <v>2025</v>
      </c>
      <c r="B21" s="13" t="n">
        <v>8</v>
      </c>
      <c r="C21" s="5" t="s">
        <v>40</v>
      </c>
      <c r="D21" s="5"/>
      <c r="E21" s="5"/>
      <c r="F21" s="6" t="n">
        <v>6000</v>
      </c>
      <c r="G21" s="40" t="n">
        <v>6000</v>
      </c>
      <c r="H21" s="20" t="n">
        <f aca="false">Tabelle!F130</f>
        <v>0.3268</v>
      </c>
      <c r="I21" s="5" t="n">
        <f aca="false">G21*H21</f>
        <v>1960.8</v>
      </c>
      <c r="J21" s="6" t="n">
        <f aca="false">Tabelle!B130</f>
        <v>17650</v>
      </c>
      <c r="K21" s="8" t="n">
        <f aca="false">Tabelle!G104</f>
        <v>5768.63</v>
      </c>
    </row>
    <row r="22" customFormat="false" ht="15" hidden="false" customHeight="false" outlineLevel="0" collapsed="false">
      <c r="A22" s="13" t="n">
        <v>2025</v>
      </c>
      <c r="B22" s="13" t="n">
        <v>9</v>
      </c>
      <c r="C22" s="5" t="s">
        <v>40</v>
      </c>
      <c r="D22" s="5"/>
      <c r="E22" s="5"/>
      <c r="F22" s="6" t="n">
        <v>6000</v>
      </c>
      <c r="G22" s="40" t="n">
        <v>6000</v>
      </c>
      <c r="H22" s="20" t="n">
        <f aca="false">Tabelle!F131</f>
        <v>0.2732</v>
      </c>
      <c r="I22" s="5" t="n">
        <f aca="false">G22*H22</f>
        <v>1639.2</v>
      </c>
      <c r="J22" s="6" t="n">
        <f aca="false">Tabelle!B131</f>
        <v>47214</v>
      </c>
      <c r="K22" s="8" t="n">
        <f aca="false">Tabelle!G108</f>
        <v>0</v>
      </c>
    </row>
    <row r="23" customFormat="false" ht="15" hidden="false" customHeight="false" outlineLevel="0" collapsed="false">
      <c r="A23" s="13" t="n">
        <v>2025</v>
      </c>
      <c r="B23" s="13" t="n">
        <v>10</v>
      </c>
      <c r="C23" s="5" t="s">
        <v>40</v>
      </c>
      <c r="D23" s="5"/>
      <c r="E23" s="5"/>
      <c r="F23" s="6" t="n">
        <v>6000</v>
      </c>
      <c r="G23" s="40" t="n">
        <v>6000</v>
      </c>
      <c r="H23" s="20" t="n">
        <f aca="false">Tabelle!F132</f>
        <v>0.2134</v>
      </c>
      <c r="I23" s="5" t="n">
        <f aca="false">G23*H23</f>
        <v>1280.4</v>
      </c>
      <c r="J23" s="6" t="n">
        <f aca="false">Tabelle!B132</f>
        <v>47533</v>
      </c>
      <c r="K23" s="8" t="n">
        <f aca="false">Tabelle!G110</f>
        <v>0</v>
      </c>
    </row>
    <row r="24" customFormat="false" ht="15" hidden="false" customHeight="false" outlineLevel="0" collapsed="false">
      <c r="A24" s="13" t="n">
        <v>2025</v>
      </c>
      <c r="B24" s="13" t="n">
        <v>11</v>
      </c>
      <c r="C24" s="5" t="s">
        <v>40</v>
      </c>
      <c r="D24" s="5"/>
      <c r="E24" s="5"/>
      <c r="F24" s="6"/>
      <c r="G24" s="40"/>
      <c r="H24" s="20" t="n">
        <f aca="false">Tabelle!F133</f>
        <v>0.2261</v>
      </c>
      <c r="I24" s="5"/>
      <c r="J24" s="6" t="n">
        <f aca="false">Tabelle!B133</f>
        <v>50662</v>
      </c>
      <c r="K24" s="8" t="n">
        <f aca="false">Tabelle!G111</f>
        <v>0</v>
      </c>
    </row>
    <row r="25" customFormat="false" ht="15" hidden="false" customHeight="false" outlineLevel="0" collapsed="false">
      <c r="A25" s="13" t="n">
        <v>2025</v>
      </c>
      <c r="B25" s="13" t="n">
        <v>12</v>
      </c>
      <c r="C25" s="5" t="s">
        <v>40</v>
      </c>
      <c r="D25" s="5"/>
      <c r="E25" s="5"/>
      <c r="F25" s="6"/>
      <c r="G25" s="40"/>
      <c r="H25" s="20" t="n">
        <f aca="false">Tabelle!F134</f>
        <v>0</v>
      </c>
      <c r="I25" s="5"/>
      <c r="J25" s="6" t="n">
        <f aca="false">Tabelle!B134</f>
        <v>0</v>
      </c>
      <c r="K25" s="8" t="n">
        <f aca="false">Tabelle!G112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35.72"/>
    <col collapsed="false" customWidth="true" hidden="false" outlineLevel="0" max="4" min="2" style="0" width="10.29"/>
    <col collapsed="false" customWidth="true" hidden="false" outlineLevel="0" max="5" min="5" style="0" width="12.25"/>
    <col collapsed="false" customWidth="true" hidden="false" outlineLevel="0" max="6" min="6" style="0" width="12.62"/>
    <col collapsed="false" customWidth="true" hidden="false" outlineLevel="0" max="7" min="7" style="0" width="11.15"/>
    <col collapsed="false" customWidth="true" hidden="false" outlineLevel="0" max="8" min="8" style="0" width="10.29"/>
    <col collapsed="false" customWidth="true" hidden="false" outlineLevel="0" max="9" min="9" style="0" width="12.01"/>
    <col collapsed="false" customWidth="true" hidden="false" outlineLevel="0" max="10" min="10" style="0" width="10.29"/>
    <col collapsed="false" customWidth="true" hidden="false" outlineLevel="0" max="11" min="11" style="0" width="11.51"/>
    <col collapsed="false" customWidth="true" hidden="false" outlineLevel="0" max="28" min="12" style="0" width="10.29"/>
  </cols>
  <sheetData>
    <row r="1" customFormat="false" ht="28.5" hidden="false" customHeight="true" outlineLevel="0" collapsed="false">
      <c r="A1" s="41" t="s">
        <v>55</v>
      </c>
    </row>
    <row r="2" customFormat="false" ht="14.25" hidden="false" customHeight="true" outlineLevel="0" collapsed="false">
      <c r="A2" s="42"/>
      <c r="AC2" s="42"/>
      <c r="AD2" s="42"/>
      <c r="AE2" s="42"/>
      <c r="AF2" s="42"/>
      <c r="AG2" s="42"/>
    </row>
    <row r="3" customFormat="false" ht="14.25" hidden="false" customHeight="true" outlineLevel="0" collapsed="false">
      <c r="A3" s="43" t="s">
        <v>56</v>
      </c>
      <c r="B3" s="44" t="s">
        <v>12</v>
      </c>
      <c r="C3" s="44" t="s">
        <v>13</v>
      </c>
      <c r="D3" s="44" t="s">
        <v>14</v>
      </c>
      <c r="E3" s="44" t="s">
        <v>15</v>
      </c>
      <c r="F3" s="44" t="s">
        <v>16</v>
      </c>
      <c r="G3" s="44" t="s">
        <v>17</v>
      </c>
      <c r="H3" s="44" t="s">
        <v>18</v>
      </c>
      <c r="I3" s="44" t="s">
        <v>19</v>
      </c>
      <c r="J3" s="44" t="s">
        <v>20</v>
      </c>
      <c r="K3" s="44" t="s">
        <v>21</v>
      </c>
      <c r="L3" s="44" t="s">
        <v>22</v>
      </c>
      <c r="M3" s="44" t="s">
        <v>23</v>
      </c>
      <c r="N3" s="44" t="s">
        <v>25</v>
      </c>
      <c r="O3" s="44" t="s">
        <v>57</v>
      </c>
      <c r="P3" s="44" t="s">
        <v>27</v>
      </c>
      <c r="Q3" s="44" t="s">
        <v>28</v>
      </c>
      <c r="R3" s="44" t="s">
        <v>29</v>
      </c>
      <c r="S3" s="44" t="s">
        <v>30</v>
      </c>
      <c r="T3" s="44" t="s">
        <v>31</v>
      </c>
      <c r="U3" s="44" t="s">
        <v>32</v>
      </c>
      <c r="V3" s="44" t="s">
        <v>33</v>
      </c>
      <c r="W3" s="44" t="s">
        <v>34</v>
      </c>
      <c r="X3" s="44" t="s">
        <v>35</v>
      </c>
      <c r="Y3" s="44" t="s">
        <v>58</v>
      </c>
      <c r="Z3" s="44" t="s">
        <v>59</v>
      </c>
      <c r="AA3" s="44" t="s">
        <v>60</v>
      </c>
      <c r="AB3" s="44" t="s">
        <v>39</v>
      </c>
      <c r="AC3" s="42"/>
      <c r="AD3" s="42"/>
      <c r="AE3" s="42"/>
      <c r="AF3" s="42"/>
      <c r="AG3" s="42"/>
    </row>
    <row r="4" customFormat="false" ht="14.25" hidden="false" customHeight="true" outlineLevel="0" collapsed="false">
      <c r="A4" s="45" t="n">
        <v>45597</v>
      </c>
      <c r="B4" s="11" t="n">
        <v>745.92</v>
      </c>
      <c r="C4" s="11" t="n">
        <v>511.15</v>
      </c>
      <c r="D4" s="11" t="n">
        <v>931.35</v>
      </c>
      <c r="E4" s="11" t="n">
        <v>243.969999999987</v>
      </c>
      <c r="F4" s="11" t="n">
        <v>1109.48</v>
      </c>
      <c r="G4" s="11" t="n">
        <v>1373.24</v>
      </c>
      <c r="H4" s="11" t="n">
        <v>1496.8</v>
      </c>
      <c r="I4" s="11" t="n">
        <v>835.77</v>
      </c>
      <c r="J4" s="11" t="n">
        <v>449.71</v>
      </c>
      <c r="K4" s="11" t="n">
        <v>889.11</v>
      </c>
      <c r="L4" s="11" t="n">
        <v>686.86</v>
      </c>
      <c r="M4" s="11" t="n">
        <v>199.43</v>
      </c>
      <c r="N4" s="11" t="n">
        <v>1682.52</v>
      </c>
      <c r="O4" s="11" t="n">
        <v>1.54</v>
      </c>
      <c r="P4" s="11" t="n">
        <v>300.960000000003</v>
      </c>
      <c r="Q4" s="11" t="n">
        <v>1071.04</v>
      </c>
      <c r="R4" s="11" t="n">
        <v>934.72</v>
      </c>
      <c r="S4" s="11" t="n">
        <v>466.64</v>
      </c>
      <c r="T4" s="11" t="n">
        <v>1673.1</v>
      </c>
      <c r="U4" s="11" t="n">
        <v>64.75</v>
      </c>
      <c r="V4" s="11" t="n">
        <v>3279.01</v>
      </c>
      <c r="W4" s="11" t="n">
        <v>907.76</v>
      </c>
      <c r="X4" s="11" t="n">
        <v>366.49</v>
      </c>
      <c r="Y4" s="11" t="n">
        <v>66.33</v>
      </c>
      <c r="Z4" s="11" t="n">
        <v>22.83</v>
      </c>
      <c r="AA4" s="11" t="n">
        <v>0.01</v>
      </c>
      <c r="AB4" s="11" t="n">
        <v>534.46</v>
      </c>
      <c r="AC4" s="42"/>
      <c r="AD4" s="42"/>
      <c r="AE4" s="42"/>
      <c r="AF4" s="42"/>
      <c r="AG4" s="42"/>
    </row>
    <row r="5" customFormat="false" ht="14.25" hidden="false" customHeight="true" outlineLevel="0" collapsed="false">
      <c r="A5" s="45" t="n">
        <v>45627</v>
      </c>
      <c r="B5" s="11" t="n">
        <v>312.14</v>
      </c>
      <c r="C5" s="11" t="n">
        <v>357.13</v>
      </c>
      <c r="D5" s="11" t="n">
        <v>138.46</v>
      </c>
      <c r="E5" s="11" t="n">
        <v>836.26999999999</v>
      </c>
      <c r="F5" s="11" t="n">
        <v>727.99</v>
      </c>
      <c r="G5" s="11" t="n">
        <v>597.15</v>
      </c>
      <c r="H5" s="11" t="n">
        <v>1222.84</v>
      </c>
      <c r="I5" s="11" t="n">
        <v>578.67</v>
      </c>
      <c r="J5" s="11" t="n">
        <v>164.26</v>
      </c>
      <c r="K5" s="11" t="n">
        <v>289.65</v>
      </c>
      <c r="L5" s="11" t="n">
        <v>380.23</v>
      </c>
      <c r="M5" s="11" t="n">
        <v>64.6</v>
      </c>
      <c r="N5" s="11" t="n">
        <v>889.24</v>
      </c>
      <c r="O5" s="11" t="n">
        <v>1.84</v>
      </c>
      <c r="P5" s="11" t="n">
        <v>602.5</v>
      </c>
      <c r="Q5" s="11" t="n">
        <v>888.67</v>
      </c>
      <c r="R5" s="11" t="n">
        <v>395.78</v>
      </c>
      <c r="S5" s="11" t="n">
        <v>307.31</v>
      </c>
      <c r="T5" s="11" t="n">
        <v>892.37</v>
      </c>
      <c r="U5" s="11" t="n">
        <v>36.83</v>
      </c>
      <c r="V5" s="11" t="n">
        <v>837.75</v>
      </c>
      <c r="W5" s="11" t="n">
        <v>499.04</v>
      </c>
      <c r="X5" s="11" t="n">
        <v>1437.77</v>
      </c>
      <c r="Y5" s="11" t="n">
        <v>38.64</v>
      </c>
      <c r="Z5" s="11" t="n">
        <v>28.35</v>
      </c>
      <c r="AA5" s="11" t="n">
        <v>0</v>
      </c>
      <c r="AB5" s="11" t="n">
        <v>365.86</v>
      </c>
      <c r="AC5" s="42"/>
      <c r="AD5" s="42"/>
      <c r="AE5" s="42"/>
      <c r="AF5" s="42"/>
      <c r="AG5" s="42"/>
    </row>
    <row r="6" customFormat="false" ht="14.25" hidden="false" customHeight="true" outlineLevel="0" collapsed="false">
      <c r="A6" s="45" t="n">
        <v>45658</v>
      </c>
      <c r="B6" s="11" t="n">
        <v>428.89</v>
      </c>
      <c r="C6" s="11" t="n">
        <v>502.77</v>
      </c>
      <c r="D6" s="11" t="n">
        <v>562.68</v>
      </c>
      <c r="E6" s="11" t="n">
        <v>1220.5</v>
      </c>
      <c r="F6" s="11" t="n">
        <v>966.37</v>
      </c>
      <c r="G6" s="11" t="n">
        <v>824.66</v>
      </c>
      <c r="H6" s="11" t="n">
        <v>828.56</v>
      </c>
      <c r="I6" s="11" t="n">
        <v>910.71</v>
      </c>
      <c r="J6" s="11" t="n">
        <v>135.3</v>
      </c>
      <c r="K6" s="11" t="n">
        <v>580.88</v>
      </c>
      <c r="L6" s="11" t="n">
        <v>485.73</v>
      </c>
      <c r="M6" s="11" t="n">
        <v>85.99</v>
      </c>
      <c r="N6" s="11" t="n">
        <v>917.49</v>
      </c>
      <c r="O6" s="11" t="n">
        <v>0</v>
      </c>
      <c r="P6" s="11" t="n">
        <v>255.759999999998</v>
      </c>
      <c r="Q6" s="11" t="n">
        <v>1432.46</v>
      </c>
      <c r="R6" s="11" t="n">
        <v>1069.29</v>
      </c>
      <c r="S6" s="11" t="n">
        <v>788.06</v>
      </c>
      <c r="T6" s="11" t="n">
        <v>1509.09</v>
      </c>
      <c r="U6" s="11" t="n">
        <v>1193.38</v>
      </c>
      <c r="V6" s="11" t="n">
        <v>104.89</v>
      </c>
      <c r="W6" s="11" t="n">
        <v>432.51</v>
      </c>
      <c r="X6" s="11" t="n">
        <v>1463.98</v>
      </c>
      <c r="Y6" s="11" t="n">
        <v>55.34</v>
      </c>
      <c r="Z6" s="11" t="n">
        <v>1.74</v>
      </c>
      <c r="AA6" s="11" t="n">
        <v>0.73</v>
      </c>
      <c r="AB6" s="11" t="n">
        <v>354.55</v>
      </c>
    </row>
    <row r="7" customFormat="false" ht="14.25" hidden="false" customHeight="true" outlineLevel="0" collapsed="false">
      <c r="A7" s="45" t="n">
        <v>45689</v>
      </c>
      <c r="B7" s="11" t="n">
        <v>492.78</v>
      </c>
      <c r="C7" s="11" t="n">
        <v>286.44</v>
      </c>
      <c r="D7" s="11" t="n">
        <v>838.13</v>
      </c>
      <c r="E7" s="11" t="n">
        <v>838.960000000006</v>
      </c>
      <c r="F7" s="11" t="n">
        <v>768.650000000001</v>
      </c>
      <c r="G7" s="11" t="n">
        <v>747.68</v>
      </c>
      <c r="H7" s="11" t="n">
        <v>644.72</v>
      </c>
      <c r="I7" s="11" t="n">
        <v>770.35</v>
      </c>
      <c r="J7" s="11" t="n">
        <v>341.64</v>
      </c>
      <c r="K7" s="11" t="n">
        <v>920.21</v>
      </c>
      <c r="L7" s="11" t="n">
        <v>627.37</v>
      </c>
      <c r="M7" s="11" t="n">
        <v>42.1</v>
      </c>
      <c r="N7" s="11" t="n">
        <v>810.1</v>
      </c>
      <c r="O7" s="11" t="n">
        <v>0</v>
      </c>
      <c r="P7" s="11" t="n">
        <v>466.130000000001</v>
      </c>
      <c r="Q7" s="11" t="n">
        <v>1260.74</v>
      </c>
      <c r="R7" s="11" t="n">
        <v>1530.02</v>
      </c>
      <c r="S7" s="11" t="n">
        <v>477.22</v>
      </c>
      <c r="T7" s="11" t="n">
        <v>2323.88</v>
      </c>
      <c r="U7" s="11" t="n">
        <v>1507.61</v>
      </c>
      <c r="V7" s="11" t="n">
        <v>56.1799999999994</v>
      </c>
      <c r="W7" s="11" t="n">
        <v>47.1500000000001</v>
      </c>
      <c r="X7" s="11" t="n">
        <v>1474.88</v>
      </c>
      <c r="Y7" s="11" t="n">
        <v>64.14</v>
      </c>
      <c r="Z7" s="11" t="n">
        <v>1.69000000000001</v>
      </c>
      <c r="AA7" s="11" t="n">
        <v>0</v>
      </c>
      <c r="AB7" s="11" t="n">
        <v>478.04</v>
      </c>
    </row>
    <row r="8" customFormat="false" ht="14.25" hidden="false" customHeight="true" outlineLevel="0" collapsed="false">
      <c r="A8" s="45" t="n">
        <v>45717</v>
      </c>
      <c r="B8" s="11" t="n">
        <v>407.33</v>
      </c>
      <c r="C8" s="11" t="n">
        <v>402.32</v>
      </c>
      <c r="D8" s="11" t="n">
        <v>740.02</v>
      </c>
      <c r="E8" s="11" t="n">
        <v>1330.61</v>
      </c>
      <c r="F8" s="11" t="n">
        <v>1248.24</v>
      </c>
      <c r="G8" s="11" t="n">
        <v>1177.48</v>
      </c>
      <c r="H8" s="11" t="n">
        <v>1169.04</v>
      </c>
      <c r="I8" s="11" t="n">
        <v>1060.23</v>
      </c>
      <c r="J8" s="11" t="n">
        <v>401.27</v>
      </c>
      <c r="K8" s="11" t="n">
        <v>1017.88</v>
      </c>
      <c r="L8" s="11" t="n">
        <v>650.34</v>
      </c>
      <c r="M8" s="11" t="n">
        <v>112.05</v>
      </c>
      <c r="N8" s="11" t="n">
        <v>1276.28</v>
      </c>
      <c r="O8" s="11" t="n">
        <v>0</v>
      </c>
      <c r="P8" s="11" t="n">
        <v>325.220000000001</v>
      </c>
      <c r="Q8" s="11" t="n">
        <v>1940.01</v>
      </c>
      <c r="R8" s="11" t="n">
        <v>299.4</v>
      </c>
      <c r="S8" s="11" t="n">
        <v>934.26</v>
      </c>
      <c r="T8" s="11" t="n">
        <v>1366.18</v>
      </c>
      <c r="U8" s="11" t="n">
        <v>0</v>
      </c>
      <c r="V8" s="11" t="n">
        <v>0.869999999999891</v>
      </c>
      <c r="W8" s="11" t="n">
        <v>2041.06</v>
      </c>
      <c r="X8" s="11" t="n">
        <v>2375.76</v>
      </c>
      <c r="Y8" s="11" t="n">
        <v>52.57</v>
      </c>
      <c r="Z8" s="11" t="n">
        <v>2.7</v>
      </c>
      <c r="AA8" s="11" t="n">
        <v>0</v>
      </c>
      <c r="AB8" s="11" t="n">
        <v>491.07</v>
      </c>
    </row>
    <row r="9" customFormat="false" ht="14.25" hidden="false" customHeight="true" outlineLevel="0" collapsed="false">
      <c r="A9" s="45" t="n">
        <v>45748</v>
      </c>
      <c r="B9" s="11" t="n">
        <v>339.18</v>
      </c>
      <c r="C9" s="11" t="n">
        <v>398.69</v>
      </c>
      <c r="D9" s="11" t="n">
        <v>742.47</v>
      </c>
      <c r="E9" s="11" t="n">
        <v>566.889999999999</v>
      </c>
      <c r="F9" s="11" t="n">
        <v>1022.11</v>
      </c>
      <c r="G9" s="11" t="n">
        <v>728.780000000001</v>
      </c>
      <c r="H9" s="11" t="n">
        <v>911.759999999999</v>
      </c>
      <c r="I9" s="11" t="n">
        <v>824.31</v>
      </c>
      <c r="J9" s="11" t="n">
        <v>375.39</v>
      </c>
      <c r="K9" s="11" t="n">
        <v>1182.44</v>
      </c>
      <c r="L9" s="11" t="n">
        <v>598.43</v>
      </c>
      <c r="M9" s="11" t="n">
        <v>123.66</v>
      </c>
      <c r="N9" s="11" t="n">
        <v>1183.17</v>
      </c>
      <c r="O9" s="11" t="n">
        <v>25.71</v>
      </c>
      <c r="P9" s="11" t="n">
        <v>83.3899999999994</v>
      </c>
      <c r="Q9" s="11" t="n">
        <v>1086.83</v>
      </c>
      <c r="R9" s="11" t="n">
        <v>83.3699999999999</v>
      </c>
      <c r="S9" s="11" t="n">
        <v>233.36</v>
      </c>
      <c r="T9" s="11" t="n">
        <v>831.130000000001</v>
      </c>
      <c r="U9" s="11" t="n">
        <v>0</v>
      </c>
      <c r="V9" s="11" t="n">
        <v>1078.5</v>
      </c>
      <c r="W9" s="11" t="n">
        <v>1771.95</v>
      </c>
      <c r="X9" s="11" t="n">
        <v>1423.97</v>
      </c>
      <c r="Y9" s="11" t="n">
        <v>35.27</v>
      </c>
      <c r="Z9" s="11" t="n">
        <v>16.48</v>
      </c>
      <c r="AA9" s="11" t="n">
        <v>0</v>
      </c>
      <c r="AB9" s="11" t="n">
        <v>526.98</v>
      </c>
    </row>
    <row r="10" customFormat="false" ht="14.25" hidden="false" customHeight="true" outlineLevel="0" collapsed="false">
      <c r="A10" s="45" t="n">
        <v>45778</v>
      </c>
      <c r="B10" s="11" t="n">
        <v>253.47</v>
      </c>
      <c r="C10" s="11" t="n">
        <v>66.4000000000001</v>
      </c>
      <c r="D10" s="11" t="n">
        <v>78.8499999999995</v>
      </c>
      <c r="E10" s="11" t="n">
        <v>460.459999999992</v>
      </c>
      <c r="F10" s="11" t="n">
        <v>1035.31</v>
      </c>
      <c r="G10" s="11" t="n">
        <v>1032.12</v>
      </c>
      <c r="H10" s="11" t="n">
        <v>341.740000000001</v>
      </c>
      <c r="I10" s="11" t="n">
        <v>586.480000000001</v>
      </c>
      <c r="J10" s="11" t="n">
        <v>23.5999999999999</v>
      </c>
      <c r="K10" s="11" t="n">
        <v>610.53</v>
      </c>
      <c r="L10" s="11" t="n">
        <v>484.79</v>
      </c>
      <c r="M10" s="11" t="n">
        <v>47.18</v>
      </c>
      <c r="N10" s="11" t="n">
        <v>668.700000000001</v>
      </c>
      <c r="O10" s="11" t="n">
        <v>18.31</v>
      </c>
      <c r="P10" s="11" t="n">
        <v>382.110000000001</v>
      </c>
      <c r="Q10" s="11" t="n">
        <v>923.16</v>
      </c>
      <c r="R10" s="11" t="n">
        <v>64.6999999999998</v>
      </c>
      <c r="S10" s="11" t="n">
        <v>470.67</v>
      </c>
      <c r="T10" s="11" t="n">
        <v>320.41</v>
      </c>
      <c r="U10" s="11" t="n">
        <v>0</v>
      </c>
      <c r="V10" s="11" t="n">
        <v>0</v>
      </c>
      <c r="W10" s="11" t="n">
        <v>1398.26</v>
      </c>
      <c r="X10" s="11" t="n">
        <v>0</v>
      </c>
      <c r="Y10" s="11" t="n">
        <v>36.76</v>
      </c>
      <c r="Z10" s="11" t="n">
        <v>7</v>
      </c>
      <c r="AA10" s="11" t="n">
        <v>0</v>
      </c>
      <c r="AB10" s="11" t="n">
        <v>288.94</v>
      </c>
    </row>
    <row r="11" customFormat="false" ht="14.25" hidden="false" customHeight="true" outlineLevel="0" collapsed="false">
      <c r="A11" s="45" t="n">
        <v>45809</v>
      </c>
      <c r="B11" s="11" t="n">
        <v>97.4400000000001</v>
      </c>
      <c r="C11" s="11" t="n">
        <v>146.03</v>
      </c>
      <c r="D11" s="11" t="n">
        <v>99.5700000000006</v>
      </c>
      <c r="E11" s="11" t="n">
        <v>1011.51000000001</v>
      </c>
      <c r="F11" s="11" t="n">
        <v>658.189999999999</v>
      </c>
      <c r="G11" s="11" t="n">
        <v>551.61</v>
      </c>
      <c r="H11" s="11" t="n">
        <v>711.03</v>
      </c>
      <c r="I11" s="11" t="n">
        <v>840.06</v>
      </c>
      <c r="J11" s="11" t="n">
        <v>159.25</v>
      </c>
      <c r="K11" s="11" t="n">
        <v>132.480000000001</v>
      </c>
      <c r="L11" s="11" t="n">
        <v>550.08</v>
      </c>
      <c r="M11" s="11" t="n">
        <v>62.4200000000001</v>
      </c>
      <c r="N11" s="11" t="n">
        <v>938.469999999999</v>
      </c>
      <c r="O11" s="11" t="n">
        <v>0</v>
      </c>
      <c r="P11" s="11" t="n">
        <v>583.360000000001</v>
      </c>
      <c r="Q11" s="11" t="n">
        <v>1403.14</v>
      </c>
      <c r="R11" s="11" t="n">
        <v>42.1300000000001</v>
      </c>
      <c r="S11" s="11" t="n">
        <v>217.32</v>
      </c>
      <c r="T11" s="11" t="n">
        <v>473.18</v>
      </c>
      <c r="U11" s="11" t="n">
        <v>0</v>
      </c>
      <c r="V11" s="11" t="n">
        <v>825.580000000001</v>
      </c>
      <c r="W11" s="11" t="n">
        <v>0</v>
      </c>
      <c r="X11" s="11" t="n">
        <v>0</v>
      </c>
      <c r="Y11" s="11" t="n">
        <v>0</v>
      </c>
      <c r="Z11" s="11" t="n">
        <v>1.64</v>
      </c>
      <c r="AA11" s="11" t="n">
        <v>0</v>
      </c>
      <c r="AB11" s="11" t="n">
        <v>72.52</v>
      </c>
    </row>
    <row r="12" customFormat="false" ht="14.25" hidden="false" customHeight="true" outlineLevel="0" collapsed="false">
      <c r="A12" s="45" t="n">
        <v>45839</v>
      </c>
      <c r="B12" s="11" t="n">
        <v>448.6</v>
      </c>
      <c r="C12" s="11" t="n">
        <v>538.77</v>
      </c>
      <c r="D12" s="11" t="n">
        <v>622.530000000001</v>
      </c>
      <c r="E12" s="11" t="n">
        <v>1784</v>
      </c>
      <c r="F12" s="11" t="n">
        <v>1172.1</v>
      </c>
      <c r="G12" s="11" t="n">
        <v>446.96</v>
      </c>
      <c r="H12" s="11" t="n">
        <v>601.34</v>
      </c>
      <c r="I12" s="11" t="n">
        <v>1044.72</v>
      </c>
      <c r="J12" s="11" t="n">
        <v>262.42</v>
      </c>
      <c r="K12" s="11" t="n">
        <v>905.03</v>
      </c>
      <c r="L12" s="11" t="n">
        <v>770.29</v>
      </c>
      <c r="M12" s="11" t="n">
        <v>249.28</v>
      </c>
      <c r="N12" s="11" t="n">
        <v>906.320000000002</v>
      </c>
      <c r="O12" s="11" t="n">
        <v>0</v>
      </c>
      <c r="P12" s="11" t="n">
        <v>296.830000000002</v>
      </c>
      <c r="Q12" s="11" t="n">
        <v>1518.73</v>
      </c>
      <c r="R12" s="11" t="n">
        <v>53.3999999999996</v>
      </c>
      <c r="S12" s="11" t="n">
        <v>618.55</v>
      </c>
      <c r="T12" s="11" t="n">
        <v>27.5900000000002</v>
      </c>
      <c r="U12" s="11" t="n">
        <v>0</v>
      </c>
      <c r="V12" s="11" t="n">
        <v>1413.66</v>
      </c>
      <c r="W12" s="11" t="n">
        <v>0</v>
      </c>
      <c r="X12" s="11" t="n">
        <v>0</v>
      </c>
      <c r="Y12" s="11" t="n">
        <v>0</v>
      </c>
      <c r="Z12" s="11" t="n">
        <v>2.07000000000001</v>
      </c>
      <c r="AA12" s="11" t="n">
        <v>40.43</v>
      </c>
      <c r="AB12" s="11" t="n">
        <v>45.5300000000002</v>
      </c>
    </row>
    <row r="13" customFormat="false" ht="14.25" hidden="false" customHeight="true" outlineLevel="0" collapsed="false">
      <c r="A13" s="45" t="n">
        <v>45870</v>
      </c>
      <c r="B13" s="11" t="n">
        <v>4.04999999999973</v>
      </c>
      <c r="C13" s="11" t="n">
        <v>163.2</v>
      </c>
      <c r="D13" s="11" t="n">
        <v>24.9299999999994</v>
      </c>
      <c r="E13" s="11" t="n">
        <v>363.289999999994</v>
      </c>
      <c r="F13" s="11" t="n">
        <v>211.58</v>
      </c>
      <c r="G13" s="11" t="n">
        <v>113.360000000001</v>
      </c>
      <c r="H13" s="11" t="n">
        <v>238.85</v>
      </c>
      <c r="I13" s="11" t="n">
        <v>7.17999999999938</v>
      </c>
      <c r="J13" s="11" t="n">
        <v>76.1900000000001</v>
      </c>
      <c r="K13" s="11" t="n">
        <v>8.82000000000062</v>
      </c>
      <c r="L13" s="11" t="n">
        <v>110.570000000001</v>
      </c>
      <c r="M13" s="11" t="n">
        <v>4.5</v>
      </c>
      <c r="N13" s="11" t="n">
        <v>224.48</v>
      </c>
      <c r="O13" s="11" t="n">
        <v>0</v>
      </c>
      <c r="P13" s="11" t="n">
        <v>152.790000000001</v>
      </c>
      <c r="Q13" s="11" t="n">
        <v>697.35</v>
      </c>
      <c r="R13" s="11" t="n">
        <v>19.6300000000001</v>
      </c>
      <c r="S13" s="11" t="n">
        <v>312.66</v>
      </c>
      <c r="T13" s="11" t="n">
        <v>130.530000000001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0.359999999999999</v>
      </c>
      <c r="AA13" s="11" t="n">
        <v>6.87000000000001</v>
      </c>
      <c r="AB13" s="11" t="n">
        <v>16.06</v>
      </c>
    </row>
    <row r="14" customFormat="false" ht="14.25" hidden="false" customHeight="true" outlineLevel="0" collapsed="false">
      <c r="A14" s="45" t="n">
        <v>45901</v>
      </c>
      <c r="B14" s="11" t="n">
        <v>179.22</v>
      </c>
      <c r="C14" s="11" t="n">
        <v>746.4</v>
      </c>
      <c r="D14" s="11" t="n">
        <v>786.97</v>
      </c>
      <c r="E14" s="11" t="n">
        <v>752.919999999998</v>
      </c>
      <c r="F14" s="11" t="n">
        <v>1024.98</v>
      </c>
      <c r="G14" s="11" t="n">
        <v>672.85</v>
      </c>
      <c r="H14" s="11" t="n">
        <v>1110.88</v>
      </c>
      <c r="I14" s="11" t="n">
        <v>0</v>
      </c>
      <c r="J14" s="11" t="n">
        <v>293.54</v>
      </c>
      <c r="K14" s="11" t="n">
        <v>553.54</v>
      </c>
      <c r="L14" s="11" t="n">
        <v>0</v>
      </c>
      <c r="M14" s="11" t="n">
        <v>3.52999999999997</v>
      </c>
      <c r="N14" s="11" t="n">
        <v>676.06</v>
      </c>
      <c r="O14" s="11" t="n">
        <v>0</v>
      </c>
      <c r="P14" s="11" t="n">
        <v>450.66</v>
      </c>
      <c r="Q14" s="11" t="n">
        <v>2729.53</v>
      </c>
      <c r="R14" s="11" t="n">
        <v>533.69</v>
      </c>
      <c r="S14" s="11" t="n">
        <v>841.55</v>
      </c>
      <c r="T14" s="11" t="n">
        <v>433.029999999999</v>
      </c>
      <c r="U14" s="11" t="n">
        <v>0</v>
      </c>
      <c r="V14" s="11" t="n">
        <v>1235.63</v>
      </c>
      <c r="W14" s="11" t="n">
        <v>0</v>
      </c>
      <c r="X14" s="11" t="n">
        <v>0</v>
      </c>
      <c r="Y14" s="11" t="n">
        <v>66.9900000000001</v>
      </c>
      <c r="Z14" s="11" t="n">
        <v>1.53999999999999</v>
      </c>
      <c r="AA14" s="11" t="n">
        <v>21.86</v>
      </c>
      <c r="AB14" s="11" t="n">
        <v>113.23</v>
      </c>
    </row>
    <row r="15" customFormat="false" ht="14.25" hidden="false" customHeight="true" outlineLevel="0" collapsed="false">
      <c r="A15" s="45" t="n">
        <v>45931</v>
      </c>
      <c r="B15" s="11" t="n">
        <v>477.619999999999</v>
      </c>
      <c r="C15" s="11" t="n">
        <v>800.610000000001</v>
      </c>
      <c r="D15" s="11" t="n">
        <v>401.650000000001</v>
      </c>
      <c r="E15" s="11" t="n">
        <v>935.37000000001</v>
      </c>
      <c r="F15" s="11" t="n">
        <v>445.950000000001</v>
      </c>
      <c r="G15" s="11" t="n">
        <v>897.529999999999</v>
      </c>
      <c r="H15" s="11" t="n">
        <v>959.77</v>
      </c>
      <c r="I15" s="11" t="n">
        <v>0</v>
      </c>
      <c r="J15" s="11" t="n">
        <v>39.77</v>
      </c>
      <c r="K15" s="11" t="n">
        <v>722.6</v>
      </c>
      <c r="L15" s="11" t="n">
        <v>0</v>
      </c>
      <c r="M15" s="11" t="n">
        <v>0</v>
      </c>
      <c r="N15" s="11" t="n">
        <v>481.51</v>
      </c>
      <c r="O15" s="11" t="n">
        <v>0</v>
      </c>
      <c r="P15" s="11" t="n">
        <v>433.919999999998</v>
      </c>
      <c r="Q15" s="11" t="n">
        <v>1593.54</v>
      </c>
      <c r="R15" s="11" t="n">
        <v>1456.08</v>
      </c>
      <c r="S15" s="11" t="n">
        <v>673.09</v>
      </c>
      <c r="T15" s="11" t="n">
        <v>173.130000000001</v>
      </c>
      <c r="U15" s="11" t="n">
        <v>0</v>
      </c>
      <c r="V15" s="11" t="n">
        <v>2166.34</v>
      </c>
      <c r="W15" s="11" t="n">
        <v>0</v>
      </c>
      <c r="X15" s="11" t="n">
        <v>0</v>
      </c>
      <c r="Y15" s="11" t="n">
        <v>36.42</v>
      </c>
      <c r="Z15" s="11" t="n">
        <v>2.04000000000001</v>
      </c>
      <c r="AA15" s="11" t="n">
        <v>68.26</v>
      </c>
      <c r="AB15" s="11" t="n">
        <v>294.76</v>
      </c>
    </row>
    <row r="16" customFormat="false" ht="14.25" hidden="false" customHeight="true" outlineLevel="0" collapsed="false">
      <c r="A16" s="45" t="n">
        <v>45962</v>
      </c>
      <c r="B16" s="11" t="n">
        <v>146.25</v>
      </c>
      <c r="C16" s="11" t="n">
        <v>352.09</v>
      </c>
      <c r="D16" s="11" t="n">
        <v>956.929999999999</v>
      </c>
      <c r="E16" s="11" t="n">
        <v>1032.70999999999</v>
      </c>
      <c r="F16" s="11" t="n">
        <v>499.49</v>
      </c>
      <c r="G16" s="11" t="n">
        <v>1142.61</v>
      </c>
      <c r="H16" s="11" t="n">
        <v>958.799999999999</v>
      </c>
      <c r="I16" s="11" t="n">
        <v>0</v>
      </c>
      <c r="J16" s="11" t="n">
        <v>344.93</v>
      </c>
      <c r="K16" s="11" t="n">
        <v>283.35</v>
      </c>
      <c r="L16" s="11" t="n">
        <v>0</v>
      </c>
      <c r="M16" s="11" t="n">
        <v>89.4400000000001</v>
      </c>
      <c r="N16" s="11" t="n">
        <v>546.280000000001</v>
      </c>
      <c r="O16" s="11" t="n">
        <v>52.03</v>
      </c>
      <c r="P16" s="11" t="n">
        <v>401.220000000001</v>
      </c>
      <c r="Q16" s="11" t="n">
        <v>1407.88</v>
      </c>
      <c r="R16" s="11" t="n">
        <v>1016.13</v>
      </c>
      <c r="S16" s="11" t="n">
        <v>911.07</v>
      </c>
      <c r="T16" s="11" t="n">
        <v>513.08</v>
      </c>
      <c r="U16" s="11" t="n">
        <v>0</v>
      </c>
      <c r="V16" s="11" t="n">
        <v>2179.06</v>
      </c>
      <c r="W16" s="11" t="n">
        <v>0</v>
      </c>
      <c r="X16" s="11" t="n">
        <v>0</v>
      </c>
      <c r="Y16" s="11" t="n">
        <v>58.04</v>
      </c>
      <c r="Z16" s="11" t="n">
        <v>9.81</v>
      </c>
      <c r="AA16" s="11" t="n">
        <v>8.19999999999999</v>
      </c>
      <c r="AB16" s="11" t="n">
        <v>126.13</v>
      </c>
    </row>
    <row r="17" customFormat="false" ht="14.25" hidden="false" customHeight="true" outlineLevel="0" collapsed="false">
      <c r="A17" s="45" t="n">
        <v>46204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 t="n">
        <v>2720.09</v>
      </c>
      <c r="S17" s="11"/>
      <c r="T17" s="11"/>
      <c r="U17" s="11"/>
      <c r="V17" s="11" t="n">
        <v>3556.41</v>
      </c>
      <c r="W17" s="11"/>
      <c r="X17" s="11"/>
      <c r="Y17" s="11"/>
      <c r="Z17" s="11"/>
      <c r="AA17" s="11"/>
      <c r="AB17" s="11"/>
    </row>
    <row r="18" customFormat="false" ht="14.25" hidden="false" customHeight="true" outlineLevel="0" collapsed="false">
      <c r="A18" s="42"/>
    </row>
    <row r="19" customFormat="false" ht="14.25" hidden="false" customHeight="true" outlineLevel="0" collapsed="false">
      <c r="A19" s="43" t="s">
        <v>61</v>
      </c>
      <c r="B19" s="44" t="s">
        <v>12</v>
      </c>
      <c r="C19" s="44" t="s">
        <v>13</v>
      </c>
      <c r="D19" s="44" t="s">
        <v>14</v>
      </c>
      <c r="E19" s="44" t="s">
        <v>15</v>
      </c>
      <c r="F19" s="44" t="s">
        <v>16</v>
      </c>
      <c r="G19" s="44" t="s">
        <v>17</v>
      </c>
      <c r="H19" s="44" t="s">
        <v>18</v>
      </c>
      <c r="I19" s="44" t="s">
        <v>19</v>
      </c>
      <c r="J19" s="44" t="s">
        <v>20</v>
      </c>
      <c r="K19" s="44" t="s">
        <v>21</v>
      </c>
      <c r="L19" s="44" t="s">
        <v>22</v>
      </c>
      <c r="M19" s="44" t="s">
        <v>23</v>
      </c>
      <c r="N19" s="44" t="s">
        <v>25</v>
      </c>
      <c r="O19" s="44" t="s">
        <v>57</v>
      </c>
      <c r="P19" s="44" t="s">
        <v>27</v>
      </c>
      <c r="Q19" s="44" t="s">
        <v>28</v>
      </c>
      <c r="R19" s="44" t="s">
        <v>29</v>
      </c>
      <c r="S19" s="44" t="s">
        <v>30</v>
      </c>
      <c r="T19" s="44" t="s">
        <v>31</v>
      </c>
      <c r="U19" s="44" t="s">
        <v>32</v>
      </c>
      <c r="V19" s="44" t="s">
        <v>33</v>
      </c>
      <c r="W19" s="44" t="s">
        <v>34</v>
      </c>
      <c r="X19" s="44" t="s">
        <v>35</v>
      </c>
      <c r="Y19" s="44" t="s">
        <v>58</v>
      </c>
      <c r="Z19" s="44" t="s">
        <v>59</v>
      </c>
      <c r="AA19" s="44" t="s">
        <v>60</v>
      </c>
      <c r="AB19" s="44" t="s">
        <v>39</v>
      </c>
    </row>
    <row r="20" customFormat="false" ht="14.25" hidden="false" customHeight="true" outlineLevel="0" collapsed="false">
      <c r="A20" s="46" t="n">
        <v>45597</v>
      </c>
      <c r="B20" s="47" t="n">
        <v>200</v>
      </c>
      <c r="C20" s="47" t="n">
        <v>103.3</v>
      </c>
      <c r="D20" s="47" t="n">
        <v>100.6</v>
      </c>
      <c r="E20" s="47" t="n">
        <v>9.6</v>
      </c>
      <c r="F20" s="47" t="n">
        <v>86.7</v>
      </c>
      <c r="G20" s="47" t="n">
        <v>145.9</v>
      </c>
      <c r="H20" s="47" t="n">
        <v>175.2</v>
      </c>
      <c r="I20" s="47" t="n">
        <v>121.9</v>
      </c>
      <c r="J20" s="47" t="n">
        <v>50.7</v>
      </c>
      <c r="K20" s="47" t="n">
        <v>55.1</v>
      </c>
      <c r="L20" s="47" t="n">
        <v>300.7</v>
      </c>
      <c r="M20" s="47" t="n">
        <v>100.3</v>
      </c>
      <c r="N20" s="47" t="n">
        <v>112.6</v>
      </c>
      <c r="O20" s="47" t="n">
        <v>0</v>
      </c>
      <c r="P20" s="47" t="n">
        <v>167</v>
      </c>
      <c r="Q20" s="47" t="n">
        <v>170.5</v>
      </c>
      <c r="R20" s="47" t="n">
        <v>45.7</v>
      </c>
      <c r="S20" s="47" t="n">
        <v>59.8</v>
      </c>
      <c r="T20" s="47" t="n">
        <v>159.6</v>
      </c>
      <c r="U20" s="47" t="n">
        <v>0</v>
      </c>
      <c r="V20" s="47" t="n">
        <v>219.3</v>
      </c>
      <c r="W20" s="47" t="n">
        <v>50.9</v>
      </c>
      <c r="X20" s="47" t="n">
        <v>7.4</v>
      </c>
      <c r="Y20" s="47" t="n">
        <v>130.2</v>
      </c>
      <c r="Z20" s="47" t="n">
        <v>6.2</v>
      </c>
      <c r="AA20" s="47" t="n">
        <v>0</v>
      </c>
      <c r="AB20" s="47" t="n">
        <v>96.7</v>
      </c>
    </row>
    <row r="21" customFormat="false" ht="14.25" hidden="false" customHeight="true" outlineLevel="0" collapsed="false">
      <c r="A21" s="46" t="n">
        <v>45627</v>
      </c>
      <c r="B21" s="11" t="n">
        <v>59.3</v>
      </c>
      <c r="C21" s="11" t="n">
        <v>89.7</v>
      </c>
      <c r="D21" s="11" t="n">
        <v>18.7</v>
      </c>
      <c r="E21" s="11" t="n">
        <v>99.3</v>
      </c>
      <c r="F21" s="11" t="n">
        <v>49.9</v>
      </c>
      <c r="G21" s="11" t="n">
        <v>61</v>
      </c>
      <c r="H21" s="11" t="n">
        <v>103.7</v>
      </c>
      <c r="I21" s="11" t="n">
        <v>72</v>
      </c>
      <c r="J21" s="11" t="n">
        <v>12.4</v>
      </c>
      <c r="K21" s="11" t="n">
        <v>2.1</v>
      </c>
      <c r="L21" s="11" t="n">
        <v>120.3</v>
      </c>
      <c r="M21" s="11" t="n">
        <v>29.1</v>
      </c>
      <c r="N21" s="11" t="n">
        <v>48.2</v>
      </c>
      <c r="O21" s="11" t="n">
        <v>0</v>
      </c>
      <c r="P21" s="11" t="n">
        <v>313.3</v>
      </c>
      <c r="Q21" s="11" t="n">
        <v>54.1</v>
      </c>
      <c r="R21" s="11" t="n">
        <v>21.1</v>
      </c>
      <c r="S21" s="11" t="n">
        <v>28.8</v>
      </c>
      <c r="T21" s="11" t="n">
        <v>62.9</v>
      </c>
      <c r="U21" s="11" t="n">
        <v>0</v>
      </c>
      <c r="V21" s="11" t="n">
        <v>34</v>
      </c>
      <c r="W21" s="11" t="n">
        <v>23.7</v>
      </c>
      <c r="X21" s="11" t="n">
        <v>65.2</v>
      </c>
      <c r="Y21" s="11" t="n">
        <v>70.15</v>
      </c>
      <c r="Z21" s="11" t="n">
        <v>107.1</v>
      </c>
      <c r="AA21" s="11" t="n">
        <v>0</v>
      </c>
      <c r="AB21" s="11" t="n">
        <v>72.1</v>
      </c>
    </row>
    <row r="22" customFormat="false" ht="14.25" hidden="false" customHeight="true" outlineLevel="0" collapsed="false">
      <c r="A22" s="46" t="n">
        <v>45658</v>
      </c>
      <c r="B22" s="11" t="n">
        <v>129.8</v>
      </c>
      <c r="C22" s="11" t="n">
        <v>99.7</v>
      </c>
      <c r="D22" s="11" t="n">
        <v>112.5</v>
      </c>
      <c r="E22" s="11" t="n">
        <v>112.9</v>
      </c>
      <c r="F22" s="11" t="n">
        <v>50.2</v>
      </c>
      <c r="G22" s="11" t="n">
        <v>96</v>
      </c>
      <c r="H22" s="11" t="n">
        <v>130.7</v>
      </c>
      <c r="I22" s="11" t="n">
        <v>147.6</v>
      </c>
      <c r="J22" s="11" t="n">
        <v>2.3</v>
      </c>
      <c r="K22" s="11" t="n">
        <v>31.5</v>
      </c>
      <c r="L22" s="11" t="n">
        <v>209.8</v>
      </c>
      <c r="M22" s="11" t="n">
        <v>33.6</v>
      </c>
      <c r="N22" s="11" t="n">
        <v>92.6</v>
      </c>
      <c r="O22" s="11" t="n">
        <v>0</v>
      </c>
      <c r="P22" s="11" t="n">
        <v>83.8</v>
      </c>
      <c r="Q22" s="11" t="n">
        <v>106.1</v>
      </c>
      <c r="R22" s="11" t="n">
        <v>72.6</v>
      </c>
      <c r="S22" s="11" t="n">
        <v>111.7</v>
      </c>
      <c r="T22" s="11" t="n">
        <v>141.2</v>
      </c>
      <c r="U22" s="11" t="n">
        <v>36.8</v>
      </c>
      <c r="V22" s="11" t="n">
        <v>0</v>
      </c>
      <c r="W22" s="11" t="n">
        <v>11.9</v>
      </c>
      <c r="X22" s="11" t="n">
        <v>71.8</v>
      </c>
      <c r="Y22" s="11" t="n">
        <v>182.2</v>
      </c>
      <c r="Z22" s="11" t="n">
        <v>0</v>
      </c>
      <c r="AA22" s="11" t="n">
        <v>0</v>
      </c>
      <c r="AB22" s="11" t="n">
        <v>60.2</v>
      </c>
    </row>
    <row r="23" customFormat="false" ht="14.25" hidden="false" customHeight="true" outlineLevel="0" collapsed="false">
      <c r="A23" s="46" t="n">
        <v>45689</v>
      </c>
      <c r="B23" s="11" t="n">
        <v>153.8</v>
      </c>
      <c r="C23" s="11" t="n">
        <v>77.6</v>
      </c>
      <c r="D23" s="11" t="n">
        <v>137.8</v>
      </c>
      <c r="E23" s="11" t="n">
        <v>129</v>
      </c>
      <c r="F23" s="11" t="n">
        <v>214.2</v>
      </c>
      <c r="G23" s="11" t="n">
        <v>66.9</v>
      </c>
      <c r="H23" s="11" t="n">
        <v>39.5</v>
      </c>
      <c r="I23" s="11" t="n">
        <v>37.1</v>
      </c>
      <c r="J23" s="11" t="n">
        <v>64.1</v>
      </c>
      <c r="K23" s="11" t="n">
        <v>92.6</v>
      </c>
      <c r="L23" s="11" t="n">
        <v>277</v>
      </c>
      <c r="M23" s="11" t="n">
        <v>20.4</v>
      </c>
      <c r="N23" s="11" t="n">
        <v>67.7</v>
      </c>
      <c r="O23" s="11" t="n">
        <v>0</v>
      </c>
      <c r="P23" s="11" t="n">
        <v>164.4</v>
      </c>
      <c r="Q23" s="11" t="n">
        <v>58.3</v>
      </c>
      <c r="R23" s="11" t="n">
        <v>180.6</v>
      </c>
      <c r="S23" s="11" t="n">
        <v>18.1</v>
      </c>
      <c r="T23" s="11" t="n">
        <v>202</v>
      </c>
      <c r="U23" s="11" t="n">
        <v>69.6</v>
      </c>
      <c r="V23" s="11" t="n">
        <v>0</v>
      </c>
      <c r="W23" s="11" t="n">
        <v>11.7</v>
      </c>
      <c r="X23" s="11" t="n">
        <v>70.5</v>
      </c>
      <c r="Y23" s="11" t="n">
        <v>127.5</v>
      </c>
      <c r="Z23" s="11" t="n">
        <v>0</v>
      </c>
      <c r="AA23" s="11" t="n">
        <v>0</v>
      </c>
      <c r="AB23" s="11" t="n">
        <v>87.3</v>
      </c>
    </row>
    <row r="24" customFormat="false" ht="14.25" hidden="false" customHeight="true" outlineLevel="0" collapsed="false">
      <c r="A24" s="46" t="n">
        <v>45717</v>
      </c>
      <c r="B24" s="11" t="n">
        <v>94.6</v>
      </c>
      <c r="C24" s="11" t="n">
        <v>53.7</v>
      </c>
      <c r="D24" s="11" t="n">
        <v>80.1</v>
      </c>
      <c r="E24" s="11" t="n">
        <v>193.5</v>
      </c>
      <c r="F24" s="11" t="n">
        <v>278.1</v>
      </c>
      <c r="G24" s="11" t="n">
        <v>202.5</v>
      </c>
      <c r="H24" s="11" t="n">
        <v>74.3</v>
      </c>
      <c r="I24" s="11" t="n">
        <v>77.5</v>
      </c>
      <c r="J24" s="11" t="n">
        <v>99.4</v>
      </c>
      <c r="K24" s="11" t="n">
        <v>79.9</v>
      </c>
      <c r="L24" s="11" t="n">
        <v>259.4</v>
      </c>
      <c r="M24" s="11" t="n">
        <v>110.7</v>
      </c>
      <c r="N24" s="11" t="n">
        <v>83.2</v>
      </c>
      <c r="O24" s="11" t="n">
        <v>0</v>
      </c>
      <c r="P24" s="11" t="n">
        <v>67.3</v>
      </c>
      <c r="Q24" s="11" t="n">
        <v>117</v>
      </c>
      <c r="R24" s="11" t="n">
        <v>0</v>
      </c>
      <c r="S24" s="11" t="n">
        <v>78.5</v>
      </c>
      <c r="T24" s="11" t="n">
        <v>115.5</v>
      </c>
      <c r="U24" s="11" t="n">
        <v>0</v>
      </c>
      <c r="V24" s="11" t="n">
        <v>0</v>
      </c>
      <c r="W24" s="11" t="n">
        <v>82.1</v>
      </c>
      <c r="X24" s="11" t="n">
        <v>116.5</v>
      </c>
      <c r="Y24" s="11" t="n">
        <v>116.1</v>
      </c>
      <c r="Z24" s="11" t="n">
        <v>0</v>
      </c>
      <c r="AA24" s="11" t="n">
        <v>0</v>
      </c>
      <c r="AB24" s="11" t="n">
        <v>83.4</v>
      </c>
    </row>
    <row r="25" customFormat="false" ht="14.25" hidden="false" customHeight="true" outlineLevel="0" collapsed="false">
      <c r="A25" s="46" t="n">
        <v>45748</v>
      </c>
      <c r="B25" s="11" t="n">
        <v>84.6</v>
      </c>
      <c r="C25" s="11" t="n">
        <v>108.4</v>
      </c>
      <c r="D25" s="11" t="n">
        <v>167.4</v>
      </c>
      <c r="E25" s="11" t="n">
        <v>27.1</v>
      </c>
      <c r="F25" s="11" t="n">
        <v>43</v>
      </c>
      <c r="G25" s="11" t="n">
        <v>124.6</v>
      </c>
      <c r="H25" s="11" t="n">
        <v>47.6</v>
      </c>
      <c r="I25" s="11" t="n">
        <v>70.6</v>
      </c>
      <c r="J25" s="11" t="n">
        <v>66</v>
      </c>
      <c r="K25" s="11" t="n">
        <v>164.8</v>
      </c>
      <c r="L25" s="11" t="n">
        <v>243.6</v>
      </c>
      <c r="M25" s="11" t="n">
        <v>105.6</v>
      </c>
      <c r="N25" s="11" t="n">
        <v>135.5</v>
      </c>
      <c r="O25" s="11" t="n">
        <v>0</v>
      </c>
      <c r="P25" s="11" t="n">
        <v>26.5</v>
      </c>
      <c r="Q25" s="11" t="n">
        <v>80.9</v>
      </c>
      <c r="R25" s="11" t="n">
        <v>0</v>
      </c>
      <c r="S25" s="11" t="n">
        <v>0</v>
      </c>
      <c r="T25" s="11" t="n">
        <v>48.3</v>
      </c>
      <c r="U25" s="11" t="n">
        <v>0</v>
      </c>
      <c r="V25" s="11" t="n">
        <v>45.8</v>
      </c>
      <c r="W25" s="11" t="n">
        <v>95.1</v>
      </c>
      <c r="X25" s="11" t="n">
        <v>76.7</v>
      </c>
      <c r="Y25" s="11" t="n">
        <v>67.9</v>
      </c>
      <c r="Z25" s="11" t="n">
        <v>40.4</v>
      </c>
      <c r="AA25" s="11" t="n">
        <v>0</v>
      </c>
      <c r="AB25" s="11" t="n">
        <v>93.2</v>
      </c>
    </row>
    <row r="26" customFormat="false" ht="14.25" hidden="false" customHeight="true" outlineLevel="0" collapsed="false">
      <c r="A26" s="46" t="n">
        <v>45778</v>
      </c>
      <c r="B26" s="11" t="n">
        <v>135.2</v>
      </c>
      <c r="C26" s="11" t="n">
        <v>2.2</v>
      </c>
      <c r="D26" s="11" t="n">
        <v>4.4</v>
      </c>
      <c r="E26" s="11" t="n">
        <v>22.7</v>
      </c>
      <c r="F26" s="11" t="n">
        <v>66</v>
      </c>
      <c r="G26" s="11" t="n">
        <v>116.7</v>
      </c>
      <c r="H26" s="11" t="n">
        <v>0</v>
      </c>
      <c r="I26" s="11" t="n">
        <v>58.7</v>
      </c>
      <c r="J26" s="11" t="n">
        <v>0</v>
      </c>
      <c r="K26" s="11" t="n">
        <v>52.2</v>
      </c>
      <c r="L26" s="11" t="n">
        <v>244.8</v>
      </c>
      <c r="M26" s="11" t="n">
        <v>31</v>
      </c>
      <c r="N26" s="11" t="n">
        <v>38.5</v>
      </c>
      <c r="O26" s="11" t="n">
        <v>0</v>
      </c>
      <c r="P26" s="11" t="n">
        <v>122.3</v>
      </c>
      <c r="Q26" s="11" t="n">
        <v>61.4</v>
      </c>
      <c r="R26" s="11" t="n">
        <v>0</v>
      </c>
      <c r="S26" s="11" t="n">
        <v>53.8</v>
      </c>
      <c r="T26" s="11" t="n">
        <v>6.5</v>
      </c>
      <c r="U26" s="11" t="n">
        <v>0</v>
      </c>
      <c r="V26" s="11" t="n">
        <v>0</v>
      </c>
      <c r="W26" s="11" t="n">
        <v>62.5</v>
      </c>
      <c r="X26" s="11" t="n">
        <v>0</v>
      </c>
      <c r="Y26" s="11" t="n">
        <v>74.4</v>
      </c>
      <c r="Z26" s="11" t="n">
        <v>22.2</v>
      </c>
      <c r="AA26" s="11" t="n">
        <v>0</v>
      </c>
      <c r="AB26" s="11" t="n">
        <v>68.5</v>
      </c>
    </row>
    <row r="27" customFormat="false" ht="14.25" hidden="false" customHeight="true" outlineLevel="0" collapsed="false">
      <c r="A27" s="46" t="n">
        <v>45809</v>
      </c>
      <c r="B27" s="11" t="n">
        <v>18.2</v>
      </c>
      <c r="C27" s="11" t="n">
        <v>15.8</v>
      </c>
      <c r="D27" s="11" t="n">
        <v>21.1</v>
      </c>
      <c r="E27" s="11" t="n">
        <v>66.8</v>
      </c>
      <c r="F27" s="11" t="n">
        <v>30.6</v>
      </c>
      <c r="G27" s="11" t="n">
        <v>51.6</v>
      </c>
      <c r="H27" s="11" t="n">
        <v>47.1</v>
      </c>
      <c r="I27" s="11" t="n">
        <v>83.5</v>
      </c>
      <c r="J27" s="11" t="n">
        <v>19.5</v>
      </c>
      <c r="K27" s="11" t="n">
        <v>6.5</v>
      </c>
      <c r="L27" s="11" t="n">
        <v>239.3</v>
      </c>
      <c r="M27" s="11" t="n">
        <v>28.2</v>
      </c>
      <c r="N27" s="11" t="n">
        <v>45.6</v>
      </c>
      <c r="O27" s="11" t="n">
        <v>0</v>
      </c>
      <c r="P27" s="11" t="n">
        <v>257.3</v>
      </c>
      <c r="Q27" s="11" t="n">
        <v>118.2</v>
      </c>
      <c r="R27" s="11" t="n">
        <v>0</v>
      </c>
      <c r="S27" s="11" t="n">
        <v>10.6</v>
      </c>
      <c r="T27" s="11" t="n">
        <v>0</v>
      </c>
      <c r="U27" s="11" t="n">
        <v>0</v>
      </c>
      <c r="V27" s="11" t="n">
        <v>25.7</v>
      </c>
      <c r="W27" s="11" t="n">
        <v>0</v>
      </c>
      <c r="X27" s="11" t="n">
        <v>0</v>
      </c>
      <c r="Y27" s="11" t="n">
        <v>35</v>
      </c>
      <c r="Z27" s="11" t="n">
        <v>0</v>
      </c>
      <c r="AA27" s="11" t="n">
        <v>0</v>
      </c>
      <c r="AB27" s="11" t="n">
        <v>367.4</v>
      </c>
    </row>
    <row r="28" customFormat="false" ht="14.25" hidden="false" customHeight="true" outlineLevel="0" collapsed="false">
      <c r="A28" s="46" t="n">
        <v>45839</v>
      </c>
      <c r="B28" s="11" t="n">
        <v>173.2</v>
      </c>
      <c r="C28" s="11" t="n">
        <v>115.1</v>
      </c>
      <c r="D28" s="11" t="n">
        <v>113</v>
      </c>
      <c r="E28" s="11" t="n">
        <v>201.7</v>
      </c>
      <c r="F28" s="11" t="n">
        <v>72.5</v>
      </c>
      <c r="G28" s="11" t="n">
        <v>32.6</v>
      </c>
      <c r="H28" s="11" t="n">
        <v>56.1</v>
      </c>
      <c r="I28" s="11" t="n">
        <v>131.1</v>
      </c>
      <c r="J28" s="11" t="n">
        <v>57.8</v>
      </c>
      <c r="K28" s="11" t="n">
        <v>150.1</v>
      </c>
      <c r="L28" s="11" t="n">
        <v>335.9</v>
      </c>
      <c r="M28" s="11" t="n">
        <v>145.4</v>
      </c>
      <c r="N28" s="11" t="n">
        <v>50.6</v>
      </c>
      <c r="O28" s="11" t="n">
        <v>0</v>
      </c>
      <c r="P28" s="11" t="n">
        <v>82</v>
      </c>
      <c r="Q28" s="11" t="n">
        <v>107.8</v>
      </c>
      <c r="R28" s="11" t="n">
        <v>0</v>
      </c>
      <c r="S28" s="11" t="n">
        <v>52.3</v>
      </c>
      <c r="T28" s="11" t="n">
        <v>0</v>
      </c>
      <c r="U28" s="11" t="n">
        <v>0</v>
      </c>
      <c r="V28" s="11" t="n">
        <v>67.3</v>
      </c>
      <c r="W28" s="11" t="n">
        <v>0</v>
      </c>
      <c r="X28" s="11" t="n">
        <v>0</v>
      </c>
      <c r="Y28" s="11" t="n">
        <v>95.4</v>
      </c>
      <c r="Z28" s="11" t="n">
        <v>0</v>
      </c>
      <c r="AA28" s="11" t="n">
        <v>0</v>
      </c>
      <c r="AB28" s="11" t="n">
        <v>5.2</v>
      </c>
    </row>
    <row r="29" customFormat="false" ht="14.25" hidden="false" customHeight="true" outlineLevel="0" collapsed="false">
      <c r="A29" s="46" t="n">
        <v>45870</v>
      </c>
      <c r="B29" s="11" t="n">
        <v>0</v>
      </c>
      <c r="C29" s="11" t="n">
        <v>59.62</v>
      </c>
      <c r="D29" s="11" t="n">
        <v>0</v>
      </c>
      <c r="E29" s="11" t="n">
        <v>18.37</v>
      </c>
      <c r="F29" s="11" t="n">
        <v>20.61</v>
      </c>
      <c r="G29" s="11" t="n">
        <v>2.08</v>
      </c>
      <c r="H29" s="11" t="n">
        <v>53.68</v>
      </c>
      <c r="I29" s="11" t="n">
        <v>0</v>
      </c>
      <c r="J29" s="11" t="n">
        <v>8.56</v>
      </c>
      <c r="K29" s="11" t="n">
        <v>0</v>
      </c>
      <c r="L29" s="11" t="n">
        <v>43.05</v>
      </c>
      <c r="M29" s="11" t="n">
        <v>0</v>
      </c>
      <c r="N29" s="11" t="n">
        <v>14.56</v>
      </c>
      <c r="O29" s="11" t="n">
        <v>0</v>
      </c>
      <c r="P29" s="11" t="n">
        <v>58.05</v>
      </c>
      <c r="Q29" s="11" t="n">
        <v>70.04</v>
      </c>
      <c r="R29" s="11" t="n">
        <v>0</v>
      </c>
      <c r="S29" s="11" t="n">
        <v>32.94</v>
      </c>
      <c r="T29" s="11" t="n">
        <v>17.82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6.11</v>
      </c>
      <c r="Z29" s="11" t="n">
        <v>0</v>
      </c>
      <c r="AA29" s="11" t="n">
        <v>0</v>
      </c>
      <c r="AB29" s="11" t="n">
        <v>2.83</v>
      </c>
    </row>
    <row r="30" customFormat="false" ht="14.25" hidden="false" customHeight="true" outlineLevel="0" collapsed="false">
      <c r="A30" s="46" t="n">
        <v>45901</v>
      </c>
      <c r="B30" s="11" t="n">
        <v>40.05</v>
      </c>
      <c r="C30" s="11" t="n">
        <v>287.77</v>
      </c>
      <c r="D30" s="11" t="n">
        <v>115.01</v>
      </c>
      <c r="E30" s="11" t="n">
        <v>53.02</v>
      </c>
      <c r="F30" s="11" t="n">
        <v>30.81</v>
      </c>
      <c r="G30" s="11" t="n">
        <v>78.24</v>
      </c>
      <c r="H30" s="11" t="n">
        <v>220.84</v>
      </c>
      <c r="I30" s="11" t="n">
        <v>0</v>
      </c>
      <c r="J30" s="11" t="n">
        <v>25.67</v>
      </c>
      <c r="K30" s="11" t="n">
        <v>110.88</v>
      </c>
      <c r="L30" s="11" t="n">
        <v>0</v>
      </c>
      <c r="M30" s="11" t="n">
        <v>0</v>
      </c>
      <c r="N30" s="11" t="n">
        <v>37.98</v>
      </c>
      <c r="O30" s="11" t="n">
        <v>0</v>
      </c>
      <c r="P30" s="11" t="n">
        <v>157.72</v>
      </c>
      <c r="Q30" s="11" t="n">
        <v>245.35</v>
      </c>
      <c r="R30" s="11" t="n">
        <v>18.71</v>
      </c>
      <c r="S30" s="11" t="n">
        <v>87.86</v>
      </c>
      <c r="T30" s="11" t="n">
        <v>68.19</v>
      </c>
      <c r="U30" s="11" t="n">
        <v>0</v>
      </c>
      <c r="V30" s="11" t="n">
        <v>22.11</v>
      </c>
      <c r="W30" s="11" t="n">
        <v>0</v>
      </c>
      <c r="X30" s="11" t="n">
        <v>0</v>
      </c>
      <c r="Y30" s="11" t="n">
        <v>128.79</v>
      </c>
      <c r="Z30" s="11" t="n">
        <v>0</v>
      </c>
      <c r="AA30" s="11" t="n">
        <v>0</v>
      </c>
      <c r="AB30" s="11" t="n">
        <v>9.03</v>
      </c>
    </row>
    <row r="31" customFormat="false" ht="14.25" hidden="false" customHeight="true" outlineLevel="0" collapsed="false">
      <c r="A31" s="46" t="n">
        <v>45931</v>
      </c>
      <c r="B31" s="11" t="n">
        <v>40.92</v>
      </c>
      <c r="C31" s="11" t="n">
        <v>72.31</v>
      </c>
      <c r="D31" s="11" t="n">
        <v>4.04</v>
      </c>
      <c r="E31" s="11" t="n">
        <v>19.01</v>
      </c>
      <c r="F31" s="11" t="n">
        <v>0</v>
      </c>
      <c r="G31" s="11" t="n">
        <v>60.92</v>
      </c>
      <c r="H31" s="11" t="n">
        <v>26.5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3.08</v>
      </c>
      <c r="O31" s="11" t="n">
        <v>0</v>
      </c>
      <c r="P31" s="11" t="n">
        <v>48.67</v>
      </c>
      <c r="Q31" s="11" t="n">
        <v>39.54</v>
      </c>
      <c r="R31" s="11" t="n">
        <v>10.44</v>
      </c>
      <c r="S31" s="11" t="n">
        <v>0</v>
      </c>
      <c r="T31" s="11" t="n">
        <v>0</v>
      </c>
      <c r="U31" s="11" t="n">
        <v>0</v>
      </c>
      <c r="V31" s="11" t="n">
        <v>12.99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</row>
    <row r="32" customFormat="false" ht="14.25" hidden="false" customHeight="true" outlineLevel="0" collapsed="false">
      <c r="A32" s="46" t="n">
        <v>45962</v>
      </c>
      <c r="B32" s="11" t="n">
        <v>56.5</v>
      </c>
      <c r="C32" s="11" t="n">
        <v>118.48</v>
      </c>
      <c r="D32" s="11" t="n">
        <v>113.89</v>
      </c>
      <c r="E32" s="11" t="n">
        <v>98.92</v>
      </c>
      <c r="F32" s="11" t="n">
        <v>60.22</v>
      </c>
      <c r="G32" s="11" t="n">
        <v>104.8</v>
      </c>
      <c r="H32" s="11" t="n">
        <v>131.64</v>
      </c>
      <c r="I32" s="11" t="n">
        <v>0</v>
      </c>
      <c r="J32" s="11" t="n">
        <v>6.41</v>
      </c>
      <c r="K32" s="11" t="n">
        <v>7.27</v>
      </c>
      <c r="L32" s="11" t="n">
        <v>0</v>
      </c>
      <c r="M32" s="11" t="n">
        <v>70.32</v>
      </c>
      <c r="N32" s="11" t="n">
        <v>25.21</v>
      </c>
      <c r="O32" s="11" t="n">
        <v>0</v>
      </c>
      <c r="P32" s="11" t="n">
        <v>179.58</v>
      </c>
      <c r="Q32" s="11" t="n">
        <v>100.13</v>
      </c>
      <c r="R32" s="11" t="n">
        <v>59.5</v>
      </c>
      <c r="S32" s="11" t="n">
        <v>115.69</v>
      </c>
      <c r="T32" s="11" t="n">
        <v>14.21</v>
      </c>
      <c r="U32" s="11" t="n">
        <v>0</v>
      </c>
      <c r="V32" s="11" t="n">
        <v>94.78</v>
      </c>
      <c r="W32" s="11" t="n">
        <v>0</v>
      </c>
      <c r="X32" s="11" t="n">
        <v>0</v>
      </c>
      <c r="Y32" s="11" t="n">
        <v>110.2</v>
      </c>
      <c r="Z32" s="11" t="n">
        <v>0</v>
      </c>
      <c r="AA32" s="11" t="n">
        <v>0</v>
      </c>
      <c r="AB32" s="11" t="n">
        <v>11.79</v>
      </c>
    </row>
    <row r="33" customFormat="false" ht="14.25" hidden="false" customHeight="true" outlineLevel="0" collapsed="false">
      <c r="A33" s="46" t="n">
        <v>46204</v>
      </c>
      <c r="B33" s="11" t="n">
        <v>0</v>
      </c>
      <c r="C33" s="11" t="n">
        <v>296.4</v>
      </c>
      <c r="D33" s="11" t="n">
        <v>0</v>
      </c>
      <c r="E33" s="11" t="n">
        <v>305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70.7</v>
      </c>
      <c r="O33" s="11" t="n">
        <v>0</v>
      </c>
      <c r="P33" s="11" t="n">
        <v>419.4</v>
      </c>
      <c r="Q33" s="11" t="n">
        <v>0</v>
      </c>
      <c r="R33" s="11" t="n">
        <v>252.5</v>
      </c>
      <c r="S33" s="11" t="n">
        <v>95.1</v>
      </c>
      <c r="T33" s="11" t="n">
        <v>50.4</v>
      </c>
      <c r="U33" s="11" t="n">
        <v>0</v>
      </c>
      <c r="V33" s="11" t="n">
        <v>246.6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126</v>
      </c>
    </row>
    <row r="34" customFormat="false" ht="14.25" hidden="false" customHeight="true" outlineLevel="0" collapsed="false">
      <c r="A34" s="42"/>
    </row>
    <row r="35" customFormat="false" ht="14.25" hidden="false" customHeight="true" outlineLevel="0" collapsed="false">
      <c r="A35" s="43" t="s">
        <v>62</v>
      </c>
      <c r="B35" s="44" t="s">
        <v>12</v>
      </c>
      <c r="C35" s="44" t="s">
        <v>13</v>
      </c>
      <c r="D35" s="44" t="s">
        <v>14</v>
      </c>
      <c r="E35" s="44" t="s">
        <v>15</v>
      </c>
      <c r="F35" s="44" t="s">
        <v>16</v>
      </c>
      <c r="G35" s="44" t="s">
        <v>17</v>
      </c>
      <c r="H35" s="44" t="s">
        <v>18</v>
      </c>
      <c r="I35" s="44" t="s">
        <v>19</v>
      </c>
      <c r="J35" s="44" t="s">
        <v>20</v>
      </c>
      <c r="K35" s="44" t="s">
        <v>21</v>
      </c>
      <c r="L35" s="44" t="s">
        <v>22</v>
      </c>
      <c r="M35" s="44" t="s">
        <v>23</v>
      </c>
      <c r="N35" s="44" t="s">
        <v>25</v>
      </c>
      <c r="O35" s="44" t="s">
        <v>57</v>
      </c>
      <c r="P35" s="44" t="s">
        <v>27</v>
      </c>
      <c r="Q35" s="44" t="s">
        <v>28</v>
      </c>
      <c r="R35" s="44" t="s">
        <v>29</v>
      </c>
      <c r="S35" s="44" t="s">
        <v>30</v>
      </c>
      <c r="T35" s="44" t="s">
        <v>31</v>
      </c>
      <c r="U35" s="44" t="s">
        <v>32</v>
      </c>
      <c r="V35" s="44" t="s">
        <v>33</v>
      </c>
      <c r="W35" s="44" t="s">
        <v>34</v>
      </c>
      <c r="X35" s="44" t="s">
        <v>35</v>
      </c>
      <c r="Y35" s="44" t="s">
        <v>58</v>
      </c>
      <c r="Z35" s="44" t="s">
        <v>59</v>
      </c>
      <c r="AA35" s="44" t="s">
        <v>60</v>
      </c>
      <c r="AB35" s="44" t="s">
        <v>39</v>
      </c>
    </row>
    <row r="36" customFormat="false" ht="14.25" hidden="false" customHeight="true" outlineLevel="0" collapsed="false">
      <c r="A36" s="46" t="n">
        <v>45597</v>
      </c>
      <c r="B36" s="47" t="n">
        <v>85000</v>
      </c>
      <c r="C36" s="47" t="n">
        <v>15405</v>
      </c>
      <c r="D36" s="47" t="n">
        <v>71217</v>
      </c>
      <c r="E36" s="47" t="n">
        <v>6000</v>
      </c>
      <c r="F36" s="47" t="n">
        <v>80240</v>
      </c>
      <c r="G36" s="47" t="n">
        <v>67158</v>
      </c>
      <c r="H36" s="47" t="n">
        <v>86620</v>
      </c>
      <c r="I36" s="47" t="n">
        <v>31407</v>
      </c>
      <c r="J36" s="47" t="n">
        <v>23463</v>
      </c>
      <c r="K36" s="47" t="n">
        <v>31023</v>
      </c>
      <c r="L36" s="47" t="n">
        <v>119234</v>
      </c>
      <c r="M36" s="47" t="n">
        <v>80847</v>
      </c>
      <c r="N36" s="47" t="n">
        <v>151631</v>
      </c>
      <c r="O36" s="47" t="n">
        <v>0</v>
      </c>
      <c r="P36" s="47" t="n">
        <v>39163</v>
      </c>
      <c r="Q36" s="47" t="n">
        <v>20105</v>
      </c>
      <c r="R36" s="47" t="n">
        <v>16163</v>
      </c>
      <c r="S36" s="47" t="n">
        <v>13260</v>
      </c>
      <c r="T36" s="47" t="n">
        <v>18477</v>
      </c>
      <c r="U36" s="47" t="n">
        <v>0</v>
      </c>
      <c r="V36" s="47" t="n">
        <v>112802</v>
      </c>
      <c r="W36" s="47" t="n">
        <v>13035</v>
      </c>
      <c r="X36" s="47" t="n">
        <v>3692</v>
      </c>
      <c r="Y36" s="47" t="n">
        <v>86845</v>
      </c>
      <c r="Z36" s="47" t="n">
        <v>952</v>
      </c>
      <c r="AA36" s="47" t="n">
        <v>17994</v>
      </c>
      <c r="AB36" s="47" t="n">
        <v>62726</v>
      </c>
    </row>
    <row r="37" customFormat="false" ht="14.25" hidden="false" customHeight="true" outlineLevel="0" collapsed="false">
      <c r="A37" s="46" t="n">
        <v>45627</v>
      </c>
      <c r="B37" s="11" t="n">
        <v>49458</v>
      </c>
      <c r="C37" s="11" t="n">
        <v>100138</v>
      </c>
      <c r="D37" s="11" t="n">
        <v>7167</v>
      </c>
      <c r="E37" s="11" t="n">
        <v>50921</v>
      </c>
      <c r="F37" s="11" t="n">
        <v>62800</v>
      </c>
      <c r="G37" s="11" t="n">
        <v>26980</v>
      </c>
      <c r="H37" s="11" t="n">
        <v>60888</v>
      </c>
      <c r="I37" s="11" t="n">
        <v>48221</v>
      </c>
      <c r="J37" s="11" t="n">
        <v>3993</v>
      </c>
      <c r="K37" s="11" t="n">
        <v>2616</v>
      </c>
      <c r="L37" s="11" t="n">
        <v>36466</v>
      </c>
      <c r="M37" s="11" t="n">
        <v>26098</v>
      </c>
      <c r="N37" s="11" t="n">
        <v>62172</v>
      </c>
      <c r="O37" s="11" t="n">
        <v>0</v>
      </c>
      <c r="P37" s="11" t="n">
        <v>106394</v>
      </c>
      <c r="Q37" s="11" t="n">
        <v>18252</v>
      </c>
      <c r="R37" s="11" t="n">
        <v>9100</v>
      </c>
      <c r="S37" s="11" t="n">
        <v>6188</v>
      </c>
      <c r="T37" s="11" t="n">
        <v>21006</v>
      </c>
      <c r="U37" s="11" t="n">
        <v>0</v>
      </c>
      <c r="V37" s="11" t="n">
        <v>23098</v>
      </c>
      <c r="W37" s="11" t="n">
        <v>10080</v>
      </c>
      <c r="X37" s="11" t="n">
        <v>29070</v>
      </c>
      <c r="Y37" s="11" t="n">
        <v>37100</v>
      </c>
      <c r="Z37" s="11" t="n">
        <v>25238</v>
      </c>
      <c r="AA37" s="11" t="n">
        <v>3994</v>
      </c>
      <c r="AB37" s="11" t="n">
        <v>30052</v>
      </c>
    </row>
    <row r="38" customFormat="false" ht="14.25" hidden="false" customHeight="true" outlineLevel="0" collapsed="false">
      <c r="A38" s="46" t="n">
        <v>45658</v>
      </c>
      <c r="B38" s="11" t="n">
        <v>81089</v>
      </c>
      <c r="C38" s="11" t="n">
        <v>6278</v>
      </c>
      <c r="D38" s="11" t="n">
        <v>32200</v>
      </c>
      <c r="E38" s="11" t="n">
        <v>99119</v>
      </c>
      <c r="F38" s="11" t="n">
        <v>56800</v>
      </c>
      <c r="G38" s="11" t="n">
        <v>41000</v>
      </c>
      <c r="H38" s="11" t="n">
        <v>35268</v>
      </c>
      <c r="I38" s="11" t="n">
        <v>67400</v>
      </c>
      <c r="J38" s="11" t="n">
        <v>9</v>
      </c>
      <c r="K38" s="11" t="n">
        <v>8619</v>
      </c>
      <c r="L38" s="11" t="n">
        <v>62417</v>
      </c>
      <c r="M38" s="11" t="n">
        <v>36485</v>
      </c>
      <c r="N38" s="11" t="n">
        <v>122346</v>
      </c>
      <c r="O38" s="11" t="n">
        <v>0</v>
      </c>
      <c r="P38" s="11" t="n">
        <v>33385</v>
      </c>
      <c r="Q38" s="11" t="n">
        <v>40745</v>
      </c>
      <c r="R38" s="11" t="n">
        <v>20219</v>
      </c>
      <c r="S38" s="11" t="n">
        <v>25438</v>
      </c>
      <c r="T38" s="11" t="n">
        <v>23440</v>
      </c>
      <c r="U38" s="11" t="n">
        <v>16048</v>
      </c>
      <c r="V38" s="11" t="n">
        <v>0</v>
      </c>
      <c r="W38" s="11" t="n">
        <v>4740</v>
      </c>
      <c r="X38" s="11" t="n">
        <v>29246</v>
      </c>
      <c r="Y38" s="11" t="n">
        <v>0</v>
      </c>
      <c r="Z38" s="11" t="n">
        <v>0</v>
      </c>
      <c r="AA38" s="11" t="n">
        <v>0</v>
      </c>
      <c r="AB38" s="11" t="n">
        <v>33464</v>
      </c>
    </row>
    <row r="39" customFormat="false" ht="14.25" hidden="false" customHeight="true" outlineLevel="0" collapsed="false">
      <c r="A39" s="46" t="n">
        <v>45689</v>
      </c>
      <c r="B39" s="11" t="n">
        <v>90790</v>
      </c>
      <c r="C39" s="11" t="n">
        <v>41985</v>
      </c>
      <c r="D39" s="11" t="n">
        <v>57200</v>
      </c>
      <c r="E39" s="11" t="n">
        <v>90878</v>
      </c>
      <c r="F39" s="11" t="n">
        <v>7216</v>
      </c>
      <c r="G39" s="11" t="n">
        <v>21616</v>
      </c>
      <c r="H39" s="11" t="n">
        <v>10207</v>
      </c>
      <c r="I39" s="11" t="n">
        <v>23510</v>
      </c>
      <c r="J39" s="11" t="n">
        <v>36009</v>
      </c>
      <c r="K39" s="11" t="n">
        <v>29278</v>
      </c>
      <c r="L39" s="11" t="n">
        <v>96598</v>
      </c>
      <c r="M39" s="11" t="n">
        <v>15760</v>
      </c>
      <c r="N39" s="11" t="n">
        <v>80711</v>
      </c>
      <c r="O39" s="11" t="n">
        <v>0</v>
      </c>
      <c r="P39" s="11" t="n">
        <v>50236</v>
      </c>
      <c r="Q39" s="11" t="n">
        <v>23470</v>
      </c>
      <c r="R39" s="11" t="n">
        <v>29367</v>
      </c>
      <c r="S39" s="11" t="n">
        <v>2223</v>
      </c>
      <c r="T39" s="11" t="n">
        <v>38160</v>
      </c>
      <c r="U39" s="11" t="n">
        <v>28795</v>
      </c>
      <c r="V39" s="11" t="n">
        <v>0</v>
      </c>
      <c r="W39" s="11" t="n">
        <v>3784</v>
      </c>
      <c r="X39" s="11" t="n">
        <v>29300</v>
      </c>
      <c r="Y39" s="11" t="n">
        <v>0</v>
      </c>
      <c r="Z39" s="11" t="n">
        <v>0</v>
      </c>
      <c r="AA39" s="11" t="n">
        <v>0</v>
      </c>
      <c r="AB39" s="11" t="n">
        <v>49428</v>
      </c>
    </row>
    <row r="40" customFormat="false" ht="14.25" hidden="false" customHeight="true" outlineLevel="0" collapsed="false">
      <c r="A40" s="46" t="n">
        <v>45717</v>
      </c>
      <c r="B40" s="11" t="n">
        <v>82524</v>
      </c>
      <c r="C40" s="11" t="n">
        <v>36925</v>
      </c>
      <c r="D40" s="11" t="n">
        <v>46789</v>
      </c>
      <c r="E40" s="11" t="n">
        <v>182385</v>
      </c>
      <c r="F40" s="11" t="n">
        <v>66544</v>
      </c>
      <c r="G40" s="11" t="n">
        <v>40006</v>
      </c>
      <c r="H40" s="11" t="n">
        <v>36000</v>
      </c>
      <c r="I40" s="11" t="n">
        <v>11300</v>
      </c>
      <c r="J40" s="11" t="n">
        <v>22178</v>
      </c>
      <c r="K40" s="11" t="n">
        <v>33501</v>
      </c>
      <c r="L40" s="11" t="n">
        <v>83238</v>
      </c>
      <c r="M40" s="11" t="n">
        <v>86910</v>
      </c>
      <c r="N40" s="11" t="n">
        <v>99845</v>
      </c>
      <c r="O40" s="11" t="n">
        <v>0</v>
      </c>
      <c r="P40" s="11" t="n">
        <v>21941</v>
      </c>
      <c r="Q40" s="11" t="n">
        <v>43809</v>
      </c>
      <c r="R40" s="11" t="n">
        <v>0</v>
      </c>
      <c r="S40" s="11" t="n">
        <v>11680</v>
      </c>
      <c r="T40" s="11" t="n">
        <v>13390</v>
      </c>
      <c r="U40" s="11" t="n">
        <v>0</v>
      </c>
      <c r="V40" s="11" t="n">
        <v>0</v>
      </c>
      <c r="W40" s="11" t="n">
        <v>32736</v>
      </c>
      <c r="X40" s="11" t="n">
        <v>44827</v>
      </c>
      <c r="Y40" s="11" t="n">
        <v>0</v>
      </c>
      <c r="Z40" s="11" t="n">
        <v>0</v>
      </c>
      <c r="AA40" s="11" t="n">
        <v>0</v>
      </c>
      <c r="AB40" s="11" t="n">
        <v>54715</v>
      </c>
    </row>
    <row r="41" customFormat="false" ht="14.25" hidden="false" customHeight="true" outlineLevel="0" collapsed="false">
      <c r="A41" s="46" t="n">
        <v>45748</v>
      </c>
      <c r="B41" s="11" t="n">
        <v>89516</v>
      </c>
      <c r="C41" s="11" t="n">
        <v>19510</v>
      </c>
      <c r="D41" s="11" t="n">
        <v>36400</v>
      </c>
      <c r="E41" s="11" t="n">
        <v>22558</v>
      </c>
      <c r="F41" s="11" t="n">
        <v>44400</v>
      </c>
      <c r="G41" s="11" t="n">
        <v>22826</v>
      </c>
      <c r="H41" s="11" t="n">
        <v>26552</v>
      </c>
      <c r="I41" s="11" t="n">
        <v>15552</v>
      </c>
      <c r="J41" s="11" t="n">
        <v>16806</v>
      </c>
      <c r="K41" s="11" t="n">
        <v>70944</v>
      </c>
      <c r="L41" s="11" t="n">
        <v>86947</v>
      </c>
      <c r="M41" s="11" t="n">
        <v>129675</v>
      </c>
      <c r="N41" s="11" t="n">
        <v>72022</v>
      </c>
      <c r="O41" s="11" t="n">
        <v>0</v>
      </c>
      <c r="P41" s="11" t="n">
        <v>9251</v>
      </c>
      <c r="Q41" s="11" t="n">
        <v>26090</v>
      </c>
      <c r="R41" s="11" t="n">
        <v>0</v>
      </c>
      <c r="S41" s="11" t="n">
        <v>1</v>
      </c>
      <c r="T41" s="11" t="n">
        <v>15990</v>
      </c>
      <c r="U41" s="11" t="n">
        <v>0</v>
      </c>
      <c r="V41" s="11" t="n">
        <v>25650</v>
      </c>
      <c r="W41" s="11" t="n">
        <v>40772</v>
      </c>
      <c r="X41" s="11" t="n">
        <v>28171</v>
      </c>
      <c r="Y41" s="11" t="n">
        <v>0</v>
      </c>
      <c r="Z41" s="11" t="n">
        <v>5772</v>
      </c>
      <c r="AA41" s="11" t="n">
        <v>13268</v>
      </c>
      <c r="AB41" s="11" t="n">
        <v>66697</v>
      </c>
    </row>
    <row r="42" customFormat="false" ht="14.25" hidden="false" customHeight="true" outlineLevel="0" collapsed="false">
      <c r="A42" s="46" t="n">
        <v>45778</v>
      </c>
      <c r="B42" s="11" t="n">
        <v>36500</v>
      </c>
      <c r="C42" s="11" t="n">
        <v>500</v>
      </c>
      <c r="D42" s="11" t="n">
        <v>1303</v>
      </c>
      <c r="E42" s="11" t="n">
        <v>13000</v>
      </c>
      <c r="F42" s="11" t="n">
        <v>45988</v>
      </c>
      <c r="G42" s="11" t="n">
        <v>44200</v>
      </c>
      <c r="H42" s="11" t="n">
        <v>0</v>
      </c>
      <c r="I42" s="11" t="n">
        <v>11985</v>
      </c>
      <c r="J42" s="11"/>
      <c r="K42" s="11" t="n">
        <v>29403</v>
      </c>
      <c r="L42" s="11" t="n">
        <v>72060</v>
      </c>
      <c r="M42" s="11" t="n">
        <v>45169</v>
      </c>
      <c r="N42" s="11" t="n">
        <v>41672</v>
      </c>
      <c r="O42" s="11" t="n">
        <v>0</v>
      </c>
      <c r="P42" s="11" t="n">
        <v>49539</v>
      </c>
      <c r="Q42" s="11" t="n">
        <v>22280</v>
      </c>
      <c r="R42" s="11" t="n">
        <v>0</v>
      </c>
      <c r="S42" s="11" t="n">
        <v>13306</v>
      </c>
      <c r="T42" s="11" t="n">
        <v>6160</v>
      </c>
      <c r="U42" s="11" t="n">
        <v>0</v>
      </c>
      <c r="V42" s="11" t="n">
        <v>0</v>
      </c>
      <c r="W42" s="11" t="n">
        <v>37888</v>
      </c>
      <c r="X42" s="11" t="n">
        <v>0</v>
      </c>
      <c r="Y42" s="11" t="n">
        <v>0</v>
      </c>
      <c r="Z42" s="11" t="n">
        <v>10809</v>
      </c>
      <c r="AA42" s="11" t="n">
        <v>0</v>
      </c>
      <c r="AB42" s="11" t="n">
        <v>28642</v>
      </c>
    </row>
    <row r="43" customFormat="false" ht="14.25" hidden="false" customHeight="true" outlineLevel="0" collapsed="false">
      <c r="A43" s="46" t="n">
        <v>45809</v>
      </c>
      <c r="B43" s="11" t="n">
        <v>20900</v>
      </c>
      <c r="C43" s="11" t="n">
        <v>4484</v>
      </c>
      <c r="D43" s="11" t="n">
        <v>12400</v>
      </c>
      <c r="E43" s="11" t="n">
        <v>36424</v>
      </c>
      <c r="F43" s="11" t="n">
        <v>25456</v>
      </c>
      <c r="G43" s="11" t="n">
        <v>33550</v>
      </c>
      <c r="H43" s="11" t="n">
        <v>14836</v>
      </c>
      <c r="I43" s="11" t="n">
        <v>14828</v>
      </c>
      <c r="J43" s="11" t="n">
        <v>13125</v>
      </c>
      <c r="K43" s="11" t="n">
        <v>4800</v>
      </c>
      <c r="L43" s="11" t="n">
        <v>83892</v>
      </c>
      <c r="M43" s="11" t="n">
        <v>29781</v>
      </c>
      <c r="N43" s="11" t="n">
        <v>48181</v>
      </c>
      <c r="O43" s="11" t="n">
        <v>0</v>
      </c>
      <c r="P43" s="11" t="n">
        <v>96390</v>
      </c>
      <c r="Q43" s="11" t="n">
        <v>53907</v>
      </c>
      <c r="R43" s="11" t="n">
        <v>0</v>
      </c>
      <c r="S43" s="11" t="n">
        <v>3176</v>
      </c>
      <c r="T43" s="11" t="n">
        <v>0</v>
      </c>
      <c r="U43" s="11" t="n">
        <v>0</v>
      </c>
      <c r="V43" s="11" t="n">
        <v>16860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7844</v>
      </c>
    </row>
    <row r="44" customFormat="false" ht="14.25" hidden="false" customHeight="true" outlineLevel="0" collapsed="false">
      <c r="A44" s="46" t="n">
        <v>45839</v>
      </c>
      <c r="B44" s="11" t="n">
        <v>197200</v>
      </c>
      <c r="C44" s="11" t="n">
        <v>51000</v>
      </c>
      <c r="D44" s="11" t="n">
        <v>79954</v>
      </c>
      <c r="E44" s="11" t="n">
        <v>124631</v>
      </c>
      <c r="F44" s="11" t="n">
        <v>85935</v>
      </c>
      <c r="G44" s="11" t="n">
        <v>41334</v>
      </c>
      <c r="H44" s="11" t="n">
        <v>46226</v>
      </c>
      <c r="I44" s="11" t="n">
        <v>115922</v>
      </c>
      <c r="J44" s="11" t="n">
        <v>18000</v>
      </c>
      <c r="K44" s="11" t="n">
        <v>33092</v>
      </c>
      <c r="L44" s="11" t="n">
        <v>114871</v>
      </c>
      <c r="M44" s="11" t="n">
        <v>136744</v>
      </c>
      <c r="N44" s="11" t="n">
        <v>53004</v>
      </c>
      <c r="O44" s="11" t="n">
        <v>0</v>
      </c>
      <c r="P44" s="11" t="n">
        <v>24626</v>
      </c>
      <c r="Q44" s="11" t="n">
        <v>41601</v>
      </c>
      <c r="R44" s="11" t="n">
        <v>0</v>
      </c>
      <c r="S44" s="11" t="n">
        <v>10511</v>
      </c>
      <c r="T44" s="11" t="n">
        <v>0</v>
      </c>
      <c r="U44" s="11" t="n">
        <v>0</v>
      </c>
      <c r="V44" s="11" t="n">
        <v>45000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2000</v>
      </c>
    </row>
    <row r="45" customFormat="false" ht="14.25" hidden="false" customHeight="true" outlineLevel="0" collapsed="false">
      <c r="A45" s="46" t="n">
        <v>45870</v>
      </c>
      <c r="B45" s="11" t="n">
        <v>0</v>
      </c>
      <c r="C45" s="11" t="n">
        <v>35441</v>
      </c>
      <c r="D45" s="11" t="n">
        <v>0</v>
      </c>
      <c r="E45" s="11" t="n">
        <v>9065</v>
      </c>
      <c r="F45" s="11" t="n">
        <v>18480</v>
      </c>
      <c r="G45" s="11" t="n">
        <v>200</v>
      </c>
      <c r="H45" s="11" t="n">
        <v>51700</v>
      </c>
      <c r="I45" s="11" t="n">
        <v>0</v>
      </c>
      <c r="J45" s="11" t="n">
        <v>5000</v>
      </c>
      <c r="K45" s="11" t="n">
        <v>0</v>
      </c>
      <c r="L45" s="11" t="n">
        <v>15723</v>
      </c>
      <c r="M45" s="11" t="n">
        <v>0</v>
      </c>
      <c r="N45" s="11" t="n">
        <v>16100</v>
      </c>
      <c r="O45" s="11" t="n">
        <v>0</v>
      </c>
      <c r="P45" s="11" t="n">
        <v>18480</v>
      </c>
      <c r="Q45" s="11" t="n">
        <v>32592</v>
      </c>
      <c r="R45" s="11" t="n">
        <v>0</v>
      </c>
      <c r="S45" s="11" t="n">
        <v>6472</v>
      </c>
      <c r="T45" s="11" t="n">
        <v>2126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5236</v>
      </c>
      <c r="Z45" s="11" t="n">
        <v>0</v>
      </c>
      <c r="AA45" s="11" t="n">
        <v>0</v>
      </c>
      <c r="AB45" s="11" t="n">
        <v>2266</v>
      </c>
    </row>
    <row r="46" customFormat="false" ht="14.25" hidden="false" customHeight="true" outlineLevel="0" collapsed="false">
      <c r="A46" s="46" t="n">
        <v>45901</v>
      </c>
      <c r="B46" s="11" t="n">
        <v>16300</v>
      </c>
      <c r="C46" s="11" t="n">
        <v>112280</v>
      </c>
      <c r="D46" s="11" t="n">
        <v>88600</v>
      </c>
      <c r="E46" s="11" t="n">
        <v>44000</v>
      </c>
      <c r="F46" s="11" t="n">
        <v>33648</v>
      </c>
      <c r="G46" s="11" t="n">
        <v>52692</v>
      </c>
      <c r="H46" s="11" t="n">
        <v>174681</v>
      </c>
      <c r="I46" s="11" t="n">
        <v>0</v>
      </c>
      <c r="J46" s="11" t="n">
        <v>18360</v>
      </c>
      <c r="K46" s="11" t="n">
        <v>11782</v>
      </c>
      <c r="L46" s="11" t="n">
        <v>0</v>
      </c>
      <c r="M46" s="11" t="n">
        <v>0</v>
      </c>
      <c r="N46" s="11" t="n">
        <v>39691</v>
      </c>
      <c r="O46" s="11" t="n">
        <v>0</v>
      </c>
      <c r="P46" s="11" t="n">
        <v>48778</v>
      </c>
      <c r="Q46" s="11" t="n">
        <v>114670</v>
      </c>
      <c r="R46" s="11" t="n">
        <v>5980</v>
      </c>
      <c r="S46" s="11" t="n">
        <v>16889</v>
      </c>
      <c r="T46" s="11" t="n">
        <v>10152</v>
      </c>
      <c r="U46" s="11" t="n">
        <v>0</v>
      </c>
      <c r="V46" s="11" t="n">
        <v>12791</v>
      </c>
      <c r="W46" s="11" t="n">
        <v>0</v>
      </c>
      <c r="X46" s="11" t="n">
        <v>0</v>
      </c>
      <c r="Y46" s="11" t="n">
        <v>96569</v>
      </c>
      <c r="Z46" s="11" t="n">
        <v>0</v>
      </c>
      <c r="AA46" s="11" t="n">
        <v>0</v>
      </c>
      <c r="AB46" s="11" t="n">
        <v>5308</v>
      </c>
    </row>
    <row r="47" customFormat="false" ht="14.25" hidden="false" customHeight="true" outlineLevel="0" collapsed="false">
      <c r="A47" s="46" t="n">
        <v>45931</v>
      </c>
      <c r="B47" s="11" t="n">
        <v>20349</v>
      </c>
      <c r="C47" s="11" t="n">
        <v>28690</v>
      </c>
      <c r="D47" s="11" t="n">
        <v>2000</v>
      </c>
      <c r="E47" s="11" t="n">
        <v>9876</v>
      </c>
      <c r="F47" s="11" t="n">
        <v>0</v>
      </c>
      <c r="G47" s="11" t="n">
        <v>29500</v>
      </c>
      <c r="H47" s="11" t="n">
        <v>27000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5250</v>
      </c>
      <c r="O47" s="11" t="n">
        <v>0</v>
      </c>
      <c r="P47" s="11" t="n">
        <v>22306</v>
      </c>
      <c r="Q47" s="11" t="n">
        <v>14168</v>
      </c>
      <c r="R47" s="11" t="n">
        <v>2284</v>
      </c>
      <c r="S47" s="11" t="n">
        <v>0</v>
      </c>
      <c r="T47" s="11" t="n">
        <v>0</v>
      </c>
      <c r="U47" s="11" t="n">
        <v>0</v>
      </c>
      <c r="V47" s="11" t="n">
        <v>8566</v>
      </c>
      <c r="W47" s="11" t="n">
        <v>0</v>
      </c>
      <c r="X47" s="11" t="n">
        <v>0</v>
      </c>
      <c r="Y47" s="11" t="n">
        <v>6740</v>
      </c>
      <c r="Z47" s="11" t="n">
        <v>0</v>
      </c>
      <c r="AA47" s="11" t="n">
        <v>0</v>
      </c>
      <c r="AB47" s="11" t="n">
        <v>0</v>
      </c>
    </row>
    <row r="48" customFormat="false" ht="14.25" hidden="false" customHeight="true" outlineLevel="0" collapsed="false">
      <c r="A48" s="46" t="n">
        <v>45962</v>
      </c>
      <c r="B48" s="11" t="n">
        <v>58235</v>
      </c>
      <c r="C48" s="11" t="n">
        <v>47140</v>
      </c>
      <c r="D48" s="11" t="n">
        <v>32125</v>
      </c>
      <c r="E48" s="11" t="n">
        <v>45105</v>
      </c>
      <c r="F48" s="11" t="n">
        <v>20240</v>
      </c>
      <c r="G48" s="11" t="n">
        <v>58799</v>
      </c>
      <c r="H48" s="11" t="n">
        <v>14316</v>
      </c>
      <c r="I48" s="11" t="n">
        <v>0</v>
      </c>
      <c r="J48" s="11" t="n">
        <v>2928</v>
      </c>
      <c r="K48" s="11" t="n">
        <v>564</v>
      </c>
      <c r="L48" s="11" t="n">
        <v>0</v>
      </c>
      <c r="M48" s="11" t="n">
        <v>49898</v>
      </c>
      <c r="N48" s="11" t="n">
        <v>23582</v>
      </c>
      <c r="O48" s="11" t="n">
        <v>0</v>
      </c>
      <c r="P48" s="11" t="n">
        <v>80874</v>
      </c>
      <c r="Q48" s="11" t="n">
        <v>35798</v>
      </c>
      <c r="R48" s="11" t="n">
        <v>13022</v>
      </c>
      <c r="S48" s="11" t="n">
        <v>28803</v>
      </c>
      <c r="T48" s="11" t="n">
        <v>5541</v>
      </c>
      <c r="U48" s="11" t="n">
        <v>0</v>
      </c>
      <c r="V48" s="11" t="n">
        <v>47723</v>
      </c>
      <c r="W48" s="11" t="n">
        <v>0</v>
      </c>
      <c r="X48" s="11" t="n">
        <v>0</v>
      </c>
      <c r="Y48" s="11" t="n">
        <v>141297</v>
      </c>
      <c r="Z48" s="11" t="n">
        <v>0</v>
      </c>
      <c r="AA48" s="11" t="n">
        <v>0</v>
      </c>
      <c r="AB48" s="11" t="n">
        <v>5051</v>
      </c>
    </row>
    <row r="49" customFormat="false" ht="14.25" hidden="false" customHeight="true" outlineLevel="0" collapsed="false">
      <c r="A49" s="46" t="n">
        <v>46204</v>
      </c>
      <c r="B49" s="11" t="n">
        <v>0</v>
      </c>
      <c r="C49" s="11" t="n">
        <v>30259</v>
      </c>
      <c r="D49" s="11" t="n">
        <v>0</v>
      </c>
      <c r="E49" s="11" t="n">
        <v>171146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17899</v>
      </c>
      <c r="N49" s="11" t="n">
        <v>93413</v>
      </c>
      <c r="O49" s="11" t="n">
        <v>0</v>
      </c>
      <c r="P49" s="11" t="n">
        <v>194196</v>
      </c>
      <c r="Q49" s="11" t="n">
        <v>0</v>
      </c>
      <c r="R49" s="11" t="n">
        <v>80140</v>
      </c>
      <c r="S49" s="11" t="n">
        <v>28160</v>
      </c>
      <c r="T49" s="11" t="n">
        <v>15227</v>
      </c>
      <c r="U49" s="11" t="n">
        <v>0</v>
      </c>
      <c r="V49" s="11" t="n">
        <v>100110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31608</v>
      </c>
    </row>
    <row r="50" customFormat="false" ht="14.25" hidden="false" customHeight="true" outlineLevel="0" collapsed="false">
      <c r="A50" s="42"/>
    </row>
    <row r="51" customFormat="false" ht="14.25" hidden="false" customHeight="true" outlineLevel="0" collapsed="false">
      <c r="C51" s="48" t="s">
        <v>63</v>
      </c>
      <c r="E51" s="49" t="s">
        <v>64</v>
      </c>
      <c r="F51" s="50" t="s">
        <v>65</v>
      </c>
      <c r="G51" s="50" t="s">
        <v>66</v>
      </c>
      <c r="H51" s="49" t="s">
        <v>40</v>
      </c>
      <c r="I51" s="50" t="s">
        <v>67</v>
      </c>
      <c r="J51" s="51" t="s">
        <v>68</v>
      </c>
      <c r="K51" s="52" t="s">
        <v>69</v>
      </c>
    </row>
    <row r="52" customFormat="false" ht="14.25" hidden="false" customHeight="true" outlineLevel="0" collapsed="false">
      <c r="A52" s="53" t="s">
        <v>70</v>
      </c>
      <c r="B52" s="54"/>
      <c r="C52" s="48"/>
      <c r="E52" s="49"/>
      <c r="F52" s="49"/>
      <c r="G52" s="49"/>
      <c r="H52" s="49"/>
      <c r="I52" s="49"/>
      <c r="J52" s="49"/>
      <c r="K52" s="49"/>
    </row>
    <row r="53" customFormat="false" ht="14.25" hidden="false" customHeight="true" outlineLevel="0" collapsed="false">
      <c r="A53" s="0" t="s">
        <v>71</v>
      </c>
      <c r="B53" s="0" t="n">
        <f aca="false">SUM(B4:AB4)</f>
        <v>20844.95</v>
      </c>
      <c r="D53" s="55" t="n">
        <v>45597</v>
      </c>
      <c r="E53" s="56" t="n">
        <f aca="false">B121*F121</f>
        <v>19696.199</v>
      </c>
      <c r="F53" s="56" t="n">
        <f aca="false">ICOPOWER!F3*Tabelle!F121</f>
        <v>19136.3333333333</v>
      </c>
      <c r="G53" s="56" t="n">
        <f aca="false">E53-F53</f>
        <v>559.865666666668</v>
      </c>
      <c r="H53" s="56" t="n">
        <f aca="false">B69*F121</f>
        <v>3373.73966</v>
      </c>
      <c r="I53" s="56" t="n">
        <f aca="false">F53-H53</f>
        <v>15762.5936733333</v>
      </c>
      <c r="J53" s="56" t="n">
        <f aca="false">B53*F121</f>
        <v>6399.39965</v>
      </c>
      <c r="K53" s="56" t="n">
        <f aca="false">E53-H53-J53</f>
        <v>9923.05969</v>
      </c>
    </row>
    <row r="54" customFormat="false" ht="14.25" hidden="false" customHeight="true" outlineLevel="0" collapsed="false">
      <c r="A54" s="0" t="s">
        <v>72</v>
      </c>
      <c r="B54" s="0" t="n">
        <f aca="false">SUM(B5:AB5)</f>
        <v>12891.34</v>
      </c>
      <c r="D54" s="55" t="n">
        <v>45627</v>
      </c>
      <c r="E54" s="56" t="n">
        <f aca="false">B122*F122</f>
        <v>17077.283</v>
      </c>
      <c r="F54" s="56" t="n">
        <f aca="false">ICOPOWER!F4*Tabelle!F122</f>
        <v>14034.4</v>
      </c>
      <c r="G54" s="56" t="n">
        <f aca="false">E54-F54</f>
        <v>3042.883</v>
      </c>
      <c r="H54" s="56" t="n">
        <f aca="false">B70*F122</f>
        <v>2856.28506</v>
      </c>
      <c r="I54" s="56" t="n">
        <f aca="false">F54-H54</f>
        <v>11178.11494</v>
      </c>
      <c r="J54" s="56" t="n">
        <f aca="false">B54*F122</f>
        <v>4267.03354</v>
      </c>
      <c r="K54" s="56" t="n">
        <f aca="false">E54-H54-J54</f>
        <v>9953.9644</v>
      </c>
    </row>
    <row r="55" customFormat="false" ht="14.25" hidden="false" customHeight="true" outlineLevel="0" collapsed="false">
      <c r="A55" s="0" t="s">
        <v>73</v>
      </c>
      <c r="B55" s="0" t="n">
        <f aca="false">SUM(B6:AB6)</f>
        <v>17112.31</v>
      </c>
      <c r="D55" s="55" t="n">
        <v>45658</v>
      </c>
      <c r="E55" s="56" t="n">
        <f aca="false">B123*F123</f>
        <v>20737.84</v>
      </c>
      <c r="F55" s="56" t="n">
        <f aca="false">ICOPOWER!F5*Tabelle!F123</f>
        <v>9867.425</v>
      </c>
      <c r="G55" s="56" t="n">
        <f aca="false">E55-F55</f>
        <v>10870.415</v>
      </c>
      <c r="H55" s="56" t="n">
        <f aca="false">B71*F123</f>
        <v>2957.75855</v>
      </c>
      <c r="I55" s="56" t="n">
        <f aca="false">F55-H55</f>
        <v>6909.66645</v>
      </c>
      <c r="J55" s="56" t="n">
        <f aca="false">B55*F123</f>
        <v>5732.62385</v>
      </c>
      <c r="K55" s="56" t="n">
        <f aca="false">E55-H55-J55</f>
        <v>12047.4576</v>
      </c>
    </row>
    <row r="56" customFormat="false" ht="14.25" hidden="false" customHeight="true" outlineLevel="0" collapsed="false">
      <c r="A56" s="0" t="s">
        <v>74</v>
      </c>
      <c r="B56" s="0" t="n">
        <f aca="false">SUM(B7:AB7)</f>
        <v>17816.81</v>
      </c>
      <c r="D56" s="55" t="n">
        <v>45689</v>
      </c>
      <c r="E56" s="56" t="n">
        <f aca="false">B124*F124</f>
        <v>20162.244</v>
      </c>
      <c r="F56" s="56" t="n">
        <f aca="false">ICOPOWER!F6*Tabelle!F124</f>
        <v>17514.292</v>
      </c>
      <c r="G56" s="56" t="n">
        <f aca="false">E56-F56</f>
        <v>2647.952</v>
      </c>
      <c r="H56" s="56" t="n">
        <f aca="false">B72*F124</f>
        <v>3047.35922</v>
      </c>
      <c r="I56" s="56" t="n">
        <f aca="false">F56-H56</f>
        <v>14466.93278</v>
      </c>
      <c r="J56" s="56" t="n">
        <f aca="false">B56*F124</f>
        <v>5950.81454</v>
      </c>
      <c r="K56" s="56" t="n">
        <f aca="false">E56-H56-J56</f>
        <v>11164.07024</v>
      </c>
    </row>
    <row r="57" customFormat="false" ht="14.25" hidden="false" customHeight="true" outlineLevel="0" collapsed="false">
      <c r="A57" s="0" t="s">
        <v>75</v>
      </c>
      <c r="B57" s="0" t="n">
        <f aca="false">SUM(B8:AB8)</f>
        <v>20822.19</v>
      </c>
      <c r="D57" s="55" t="n">
        <v>45717</v>
      </c>
      <c r="E57" s="56" t="n">
        <f aca="false">B125*F125</f>
        <v>16647.774</v>
      </c>
      <c r="F57" s="56" t="n">
        <f aca="false">ICOPOWER!F7*Tabelle!F125</f>
        <v>14098.084</v>
      </c>
      <c r="G57" s="56" t="n">
        <f aca="false">E57-F57</f>
        <v>2549.69</v>
      </c>
      <c r="H57" s="56" t="n">
        <f aca="false">B73*F125</f>
        <v>2914.60312</v>
      </c>
      <c r="I57" s="56" t="n">
        <f aca="false">F57-H57</f>
        <v>11183.48088</v>
      </c>
      <c r="J57" s="56" t="n">
        <f aca="false">B57*F125</f>
        <v>5955.14634</v>
      </c>
      <c r="K57" s="56" t="n">
        <f aca="false">E57-H57-J57</f>
        <v>7778.02454</v>
      </c>
    </row>
    <row r="58" customFormat="false" ht="14.25" hidden="false" customHeight="true" outlineLevel="0" collapsed="false">
      <c r="A58" s="0" t="s">
        <v>76</v>
      </c>
      <c r="B58" s="0" t="n">
        <f aca="false">SUM(B9:AB9)</f>
        <v>16194.22</v>
      </c>
      <c r="D58" s="55" t="n">
        <v>45748</v>
      </c>
      <c r="E58" s="56" t="n">
        <f aca="false">B126*F126</f>
        <v>10956.9195</v>
      </c>
      <c r="F58" s="56" t="n">
        <f aca="false">ICOPOWER!F8*Tabelle!F126</f>
        <v>8853.894</v>
      </c>
      <c r="G58" s="56" t="n">
        <f aca="false">E58-F58</f>
        <v>2103.0255</v>
      </c>
      <c r="H58" s="56" t="n">
        <f aca="false">B74*F126</f>
        <v>2284.831935</v>
      </c>
      <c r="I58" s="56" t="n">
        <f aca="false">F58-H58</f>
        <v>6569.062065</v>
      </c>
      <c r="J58" s="56" t="n">
        <f aca="false">B58*F126</f>
        <v>4299.56541</v>
      </c>
      <c r="K58" s="56" t="n">
        <f aca="false">E58-H58-J58</f>
        <v>4372.522155</v>
      </c>
    </row>
    <row r="59" customFormat="false" ht="14.25" hidden="false" customHeight="true" outlineLevel="0" collapsed="false">
      <c r="A59" s="0" t="s">
        <v>77</v>
      </c>
      <c r="B59" s="0" t="n">
        <f aca="false">SUM(B10:AB10)</f>
        <v>9599.95</v>
      </c>
      <c r="D59" s="57" t="n">
        <v>45778</v>
      </c>
      <c r="E59" s="56" t="n">
        <f aca="false">B127*F127</f>
        <v>7933.3175</v>
      </c>
      <c r="F59" s="56" t="n">
        <f aca="false">ICOPOWER!F9*Tabelle!F127</f>
        <v>6186.9525</v>
      </c>
      <c r="G59" s="56" t="n">
        <f aca="false">E59-F59</f>
        <v>1746.365</v>
      </c>
      <c r="H59" s="56" t="n">
        <f aca="false">B75*F127</f>
        <v>1539.337575</v>
      </c>
      <c r="I59" s="56" t="n">
        <f aca="false">F59-H59</f>
        <v>4647.614925</v>
      </c>
      <c r="J59" s="56" t="n">
        <f aca="false">B59*F127</f>
        <v>2471.987125</v>
      </c>
      <c r="K59" s="56" t="n">
        <f aca="false">E59-H59-J59</f>
        <v>3921.9928</v>
      </c>
    </row>
    <row r="60" customFormat="false" ht="14.25" hidden="false" customHeight="true" outlineLevel="0" collapsed="false">
      <c r="A60" s="0" t="s">
        <v>78</v>
      </c>
      <c r="B60" s="0" t="n">
        <f aca="false">SUM(B11:AB11)</f>
        <v>9577.01000000001</v>
      </c>
      <c r="D60" s="57" t="n">
        <v>45809</v>
      </c>
      <c r="E60" s="56" t="n">
        <f aca="false">B128*F128</f>
        <v>11943.62</v>
      </c>
      <c r="F60" s="56" t="n">
        <f aca="false">ICOPOWER!F10*Tabelle!F128</f>
        <v>11949.655</v>
      </c>
      <c r="G60" s="56" t="n">
        <f aca="false">E60-F60</f>
        <v>-6.03499999999985</v>
      </c>
      <c r="H60" s="56" t="n">
        <f aca="false">B76*F128</f>
        <v>2202.9667</v>
      </c>
      <c r="I60" s="56" t="n">
        <f aca="false">F60-H60</f>
        <v>9746.6883</v>
      </c>
      <c r="J60" s="56" t="n">
        <f aca="false">B60*F128</f>
        <v>3399.83855</v>
      </c>
      <c r="K60" s="56" t="n">
        <f aca="false">E60-H60-J60</f>
        <v>6340.81475</v>
      </c>
    </row>
    <row r="61" customFormat="false" ht="14.25" hidden="false" customHeight="true" outlineLevel="0" collapsed="false">
      <c r="A61" s="0" t="s">
        <v>79</v>
      </c>
      <c r="B61" s="0" t="n">
        <f aca="false">SUM(B12:AB12)</f>
        <v>13769.15</v>
      </c>
      <c r="D61" s="57" t="n">
        <v>45839</v>
      </c>
      <c r="E61" s="56" t="n">
        <f aca="false">B129*F129</f>
        <v>15238.968</v>
      </c>
      <c r="F61" s="56" t="n">
        <f aca="false">ICOPOWER!F11*Tabelle!F129</f>
        <v>12477.88</v>
      </c>
      <c r="G61" s="56" t="n">
        <f aca="false">E61-F61</f>
        <v>2761.088</v>
      </c>
      <c r="H61" s="56" t="n">
        <f aca="false">B77*F129</f>
        <v>1776</v>
      </c>
      <c r="I61" s="56" t="n">
        <f aca="false">F61-H61</f>
        <v>10701.88</v>
      </c>
      <c r="J61" s="56" t="n">
        <f aca="false">B61*F129</f>
        <v>4075.6684</v>
      </c>
      <c r="K61" s="56" t="n">
        <f aca="false">E61-H61-J61</f>
        <v>9387.2996</v>
      </c>
    </row>
    <row r="62" customFormat="false" ht="14.25" hidden="false" customHeight="true" outlineLevel="0" collapsed="false">
      <c r="A62" s="0" t="s">
        <v>80</v>
      </c>
      <c r="B62" s="0" t="n">
        <f aca="false">SUM(B13:AB13)</f>
        <v>2887.25</v>
      </c>
      <c r="D62" s="57" t="n">
        <v>45870</v>
      </c>
      <c r="E62" s="56" t="n">
        <f aca="false">B130*F130</f>
        <v>5768.02</v>
      </c>
      <c r="F62" s="56" t="n">
        <f aca="false">ICOPOWER!F12*Tabelle!F130</f>
        <v>4442.846</v>
      </c>
      <c r="G62" s="56" t="n">
        <f aca="false">E62-F62</f>
        <v>1325.174</v>
      </c>
      <c r="H62" s="56" t="n">
        <f aca="false">B78*F130</f>
        <v>1960.8</v>
      </c>
      <c r="I62" s="56" t="n">
        <f aca="false">F62-H62</f>
        <v>2482.046</v>
      </c>
      <c r="J62" s="56" t="n">
        <f aca="false">B62*F130</f>
        <v>943.553299999998</v>
      </c>
      <c r="K62" s="56" t="n">
        <f aca="false">E62-H62-J62</f>
        <v>2863.6667</v>
      </c>
    </row>
    <row r="63" customFormat="false" ht="14.25" hidden="false" customHeight="true" outlineLevel="0" collapsed="false">
      <c r="A63" s="0" t="s">
        <v>81</v>
      </c>
      <c r="B63" s="0" t="n">
        <f aca="false">SUM(B14:AB14)</f>
        <v>13228.6</v>
      </c>
      <c r="D63" s="57" t="n">
        <v>45901</v>
      </c>
      <c r="E63" s="56" t="n">
        <f aca="false">B131*F131</f>
        <v>12898.8648</v>
      </c>
      <c r="F63" s="56" t="n">
        <f aca="false">ICOPOWER!F13*Tabelle!F131</f>
        <v>10554.2624</v>
      </c>
      <c r="G63" s="56" t="n">
        <f aca="false">E63-F63</f>
        <v>2344.6024</v>
      </c>
      <c r="H63" s="56" t="n">
        <f aca="false">B79*F131</f>
        <v>1639.2</v>
      </c>
      <c r="I63" s="56" t="n">
        <f aca="false">F63-H63</f>
        <v>8915.0624</v>
      </c>
      <c r="J63" s="56" t="n">
        <f aca="false">B63*F131</f>
        <v>3614.05352</v>
      </c>
      <c r="K63" s="56" t="n">
        <f aca="false">E63-H63-J63</f>
        <v>7645.61128</v>
      </c>
    </row>
    <row r="64" customFormat="false" ht="14.25" hidden="false" customHeight="true" outlineLevel="0" collapsed="false">
      <c r="A64" s="0" t="s">
        <v>82</v>
      </c>
      <c r="B64" s="0" t="n">
        <f aca="false">SUM(B15:AB15)</f>
        <v>13059.96</v>
      </c>
      <c r="D64" s="57" t="n">
        <v>45931</v>
      </c>
      <c r="E64" s="56" t="n">
        <f aca="false">B132*F132</f>
        <v>10143.5422</v>
      </c>
      <c r="F64" s="56" t="n">
        <f aca="false">ICOPOWER!F14*Tabelle!F132</f>
        <v>8375.95</v>
      </c>
      <c r="G64" s="56" t="n">
        <f aca="false">E64-F64</f>
        <v>1767.5922</v>
      </c>
      <c r="H64" s="56" t="n">
        <f aca="false">B80*F132</f>
        <v>1280.4</v>
      </c>
      <c r="I64" s="56" t="n">
        <f aca="false">F64-H64</f>
        <v>7095.55</v>
      </c>
      <c r="J64" s="56" t="n">
        <f aca="false">B64*F132</f>
        <v>2786.995464</v>
      </c>
      <c r="K64" s="56" t="n">
        <f aca="false">E64-H64-J64</f>
        <v>6076.146736</v>
      </c>
    </row>
    <row r="65" customFormat="false" ht="14.25" hidden="false" customHeight="true" outlineLevel="0" collapsed="false">
      <c r="A65" s="0" t="s">
        <v>83</v>
      </c>
      <c r="B65" s="58" t="n">
        <f aca="false">SUM(B16:AB16)</f>
        <v>13035.53</v>
      </c>
      <c r="D65" s="57" t="n">
        <v>45962</v>
      </c>
      <c r="E65" s="56" t="n">
        <f aca="false">B133*F133</f>
        <v>11454.6782</v>
      </c>
      <c r="F65" s="56" t="n">
        <f aca="false">ICOPOWER!F15*Tabelle!F133</f>
        <v>9713.0299</v>
      </c>
      <c r="G65" s="56" t="n">
        <f aca="false">E65-F65</f>
        <v>1741.6483</v>
      </c>
      <c r="H65" s="56" t="n">
        <f aca="false">B82*F133</f>
        <v>1356.6</v>
      </c>
      <c r="I65" s="56" t="n">
        <f aca="false">F65-H65</f>
        <v>8356.4299</v>
      </c>
      <c r="J65" s="56" t="n">
        <f aca="false">B65*F133</f>
        <v>2947.333333</v>
      </c>
      <c r="K65" s="56" t="n">
        <f aca="false">E65-H65-J65</f>
        <v>7150.744867</v>
      </c>
    </row>
    <row r="66" customFormat="false" ht="14.25" hidden="false" customHeight="true" outlineLevel="0" collapsed="false">
      <c r="A66" s="0" t="s">
        <v>84</v>
      </c>
      <c r="B66" s="58" t="n">
        <f aca="false">SUM(B17:AB17)</f>
        <v>6276.5</v>
      </c>
      <c r="D66" s="57" t="n">
        <v>46204</v>
      </c>
      <c r="E66" s="56" t="n">
        <f aca="false">B134*F134</f>
        <v>0</v>
      </c>
      <c r="F66" s="56" t="n">
        <f aca="false">ICOPOWER!F16*Tabelle!F134</f>
        <v>0</v>
      </c>
      <c r="G66" s="56" t="n">
        <f aca="false">E66-F66</f>
        <v>0</v>
      </c>
      <c r="H66" s="56" t="n">
        <f aca="false">B83*F134</f>
        <v>0</v>
      </c>
      <c r="I66" s="56" t="n">
        <f aca="false">F66-H66</f>
        <v>0</v>
      </c>
      <c r="J66" s="56" t="n">
        <f aca="false">B66*F134</f>
        <v>0</v>
      </c>
      <c r="K66" s="56" t="n">
        <f aca="false">E66-H66-J66</f>
        <v>0</v>
      </c>
    </row>
    <row r="67" customFormat="false" ht="14.25" hidden="false" customHeight="true" outlineLevel="0" collapsed="false">
      <c r="D67" s="59"/>
      <c r="E67" s="60"/>
      <c r="F67" s="60"/>
      <c r="G67" s="60"/>
      <c r="H67" s="60"/>
      <c r="I67" s="60"/>
      <c r="J67" s="60"/>
      <c r="K67" s="60"/>
    </row>
    <row r="68" customFormat="false" ht="14.25" hidden="false" customHeight="true" outlineLevel="0" collapsed="false">
      <c r="A68" s="61" t="s">
        <v>85</v>
      </c>
      <c r="B68" s="61"/>
      <c r="D68" s="62" t="s">
        <v>86</v>
      </c>
      <c r="E68" s="62"/>
      <c r="F68" s="62"/>
      <c r="G68" s="62"/>
    </row>
    <row r="69" customFormat="false" ht="14.25" hidden="false" customHeight="true" outlineLevel="0" collapsed="false">
      <c r="A69" s="63" t="n">
        <v>45597</v>
      </c>
      <c r="B69" s="0" t="n">
        <v>10989.38</v>
      </c>
      <c r="D69" s="64" t="n">
        <v>45597</v>
      </c>
      <c r="E69" s="64"/>
      <c r="F69" s="64"/>
      <c r="G69" s="60" t="n">
        <f aca="false">B69*F121</f>
        <v>3373.73966</v>
      </c>
    </row>
    <row r="70" customFormat="false" ht="14.25" hidden="false" customHeight="true" outlineLevel="0" collapsed="false">
      <c r="A70" s="63" t="n">
        <v>45627</v>
      </c>
      <c r="B70" s="0" t="n">
        <v>8629.26</v>
      </c>
      <c r="D70" s="64" t="n">
        <v>45627</v>
      </c>
      <c r="E70" s="64"/>
      <c r="F70" s="64"/>
      <c r="G70" s="60" t="n">
        <f aca="false">B70*F122</f>
        <v>2856.28506</v>
      </c>
    </row>
    <row r="71" customFormat="false" ht="14.25" hidden="false" customHeight="true" outlineLevel="0" collapsed="false">
      <c r="A71" s="63" t="n">
        <v>45658</v>
      </c>
      <c r="B71" s="0" t="n">
        <v>8829.13</v>
      </c>
      <c r="D71" s="64" t="n">
        <v>45658</v>
      </c>
      <c r="E71" s="64"/>
      <c r="F71" s="64"/>
      <c r="G71" s="60" t="n">
        <f aca="false">B71*F123</f>
        <v>2957.75855</v>
      </c>
    </row>
    <row r="72" customFormat="false" ht="14.25" hidden="false" customHeight="true" outlineLevel="0" collapsed="false">
      <c r="A72" s="63" t="n">
        <v>45689</v>
      </c>
      <c r="B72" s="0" t="n">
        <v>9123.83</v>
      </c>
      <c r="D72" s="64" t="n">
        <v>45689</v>
      </c>
      <c r="E72" s="64"/>
      <c r="F72" s="64"/>
      <c r="G72" s="60" t="n">
        <f aca="false">B72*F124</f>
        <v>3047.35922</v>
      </c>
    </row>
    <row r="73" customFormat="false" ht="14.25" hidden="false" customHeight="true" outlineLevel="0" collapsed="false">
      <c r="A73" s="63" t="n">
        <v>45717</v>
      </c>
      <c r="B73" s="0" t="n">
        <v>10190.92</v>
      </c>
      <c r="D73" s="64" t="n">
        <v>45717</v>
      </c>
      <c r="E73" s="64"/>
      <c r="F73" s="64"/>
      <c r="G73" s="60" t="n">
        <f aca="false">B73*F125</f>
        <v>2914.60312</v>
      </c>
    </row>
    <row r="74" customFormat="false" ht="14.25" hidden="false" customHeight="true" outlineLevel="0" collapsed="false">
      <c r="A74" s="63" t="n">
        <v>45748</v>
      </c>
      <c r="B74" s="0" t="n">
        <v>8605.77</v>
      </c>
      <c r="D74" s="64" t="n">
        <v>45748</v>
      </c>
      <c r="E74" s="64"/>
      <c r="F74" s="64"/>
      <c r="G74" s="60" t="n">
        <f aca="false">B74*F126</f>
        <v>2284.831935</v>
      </c>
    </row>
    <row r="75" customFormat="false" ht="14.25" hidden="false" customHeight="true" outlineLevel="0" collapsed="false">
      <c r="A75" s="63" t="n">
        <v>45778</v>
      </c>
      <c r="B75" s="0" t="n">
        <v>5978.01</v>
      </c>
      <c r="D75" s="64" t="n">
        <v>45778</v>
      </c>
      <c r="E75" s="64"/>
      <c r="F75" s="64"/>
      <c r="G75" s="60" t="n">
        <f aca="false">B75*F127</f>
        <v>1539.337575</v>
      </c>
    </row>
    <row r="76" customFormat="false" ht="14.25" hidden="false" customHeight="true" outlineLevel="0" collapsed="false">
      <c r="A76" s="63" t="n">
        <v>45809</v>
      </c>
      <c r="B76" s="0" t="n">
        <v>6205.54</v>
      </c>
      <c r="D76" s="64" t="n">
        <v>45809</v>
      </c>
      <c r="E76" s="64"/>
      <c r="F76" s="64"/>
      <c r="G76" s="60" t="n">
        <f aca="false">B76*F128</f>
        <v>2202.9667</v>
      </c>
    </row>
    <row r="77" customFormat="false" ht="14.25" hidden="false" customHeight="true" outlineLevel="0" collapsed="false">
      <c r="A77" s="63" t="n">
        <v>45839</v>
      </c>
      <c r="B77" s="65" t="n">
        <v>6000</v>
      </c>
      <c r="C77" s="0" t="s">
        <v>87</v>
      </c>
      <c r="D77" s="64" t="n">
        <v>45839</v>
      </c>
      <c r="E77" s="64"/>
      <c r="F77" s="64"/>
      <c r="G77" s="60" t="n">
        <f aca="false">B77*F129</f>
        <v>1776</v>
      </c>
    </row>
    <row r="78" customFormat="false" ht="14.25" hidden="false" customHeight="true" outlineLevel="0" collapsed="false">
      <c r="A78" s="63" t="n">
        <v>45870</v>
      </c>
      <c r="B78" s="65" t="n">
        <v>6000</v>
      </c>
      <c r="D78" s="64" t="n">
        <v>45870</v>
      </c>
      <c r="E78" s="64"/>
      <c r="F78" s="64"/>
      <c r="G78" s="60" t="n">
        <f aca="false">B78*F130</f>
        <v>1960.8</v>
      </c>
    </row>
    <row r="79" customFormat="false" ht="14.25" hidden="false" customHeight="true" outlineLevel="0" collapsed="false">
      <c r="A79" s="63" t="n">
        <v>45901</v>
      </c>
      <c r="B79" s="65" t="n">
        <v>6000</v>
      </c>
      <c r="D79" s="64" t="n">
        <v>45901</v>
      </c>
      <c r="E79" s="64"/>
      <c r="F79" s="64"/>
      <c r="G79" s="60" t="n">
        <f aca="false">B79*F131</f>
        <v>1639.2</v>
      </c>
    </row>
    <row r="80" customFormat="false" ht="14.25" hidden="false" customHeight="true" outlineLevel="0" collapsed="false">
      <c r="A80" s="63" t="n">
        <v>45931</v>
      </c>
      <c r="B80" s="65" t="n">
        <v>6000</v>
      </c>
      <c r="D80" s="64" t="n">
        <v>45931</v>
      </c>
      <c r="E80" s="64"/>
      <c r="F80" s="64"/>
      <c r="G80" s="60" t="n">
        <f aca="false">B80*F132</f>
        <v>1280.4</v>
      </c>
    </row>
    <row r="81" customFormat="false" ht="14.25" hidden="false" customHeight="true" outlineLevel="0" collapsed="false">
      <c r="A81" s="63" t="n">
        <v>45962</v>
      </c>
      <c r="B81" s="65" t="n">
        <v>6000</v>
      </c>
      <c r="D81" s="64" t="n">
        <v>45962</v>
      </c>
      <c r="E81" s="64"/>
      <c r="F81" s="64"/>
      <c r="G81" s="60" t="n">
        <f aca="false">B81*F133</f>
        <v>1356.6</v>
      </c>
    </row>
    <row r="82" customFormat="false" ht="14.25" hidden="false" customHeight="true" outlineLevel="0" collapsed="false">
      <c r="A82" s="63" t="n">
        <v>46204</v>
      </c>
      <c r="B82" s="65" t="n">
        <v>6000</v>
      </c>
      <c r="D82" s="64" t="n">
        <v>46204</v>
      </c>
      <c r="E82" s="64"/>
      <c r="F82" s="64"/>
      <c r="G82" s="60" t="n">
        <f aca="false">B82*F134</f>
        <v>0</v>
      </c>
    </row>
    <row r="83" customFormat="false" ht="14.25" hidden="false" customHeight="true" outlineLevel="0" collapsed="false">
      <c r="D83" s="66"/>
    </row>
    <row r="84" customFormat="false" ht="14.25" hidden="false" customHeight="true" outlineLevel="0" collapsed="false">
      <c r="A84" s="61" t="s">
        <v>88</v>
      </c>
      <c r="B84" s="61"/>
      <c r="D84" s="62" t="s">
        <v>89</v>
      </c>
      <c r="E84" s="62"/>
      <c r="F84" s="62"/>
      <c r="G84" s="62"/>
    </row>
    <row r="85" customFormat="false" ht="14.25" hidden="false" customHeight="true" outlineLevel="0" collapsed="false">
      <c r="A85" s="67" t="n">
        <v>45292</v>
      </c>
      <c r="D85" s="68" t="n">
        <v>45292</v>
      </c>
      <c r="E85" s="68"/>
      <c r="F85" s="68"/>
      <c r="G85" s="60" t="n">
        <v>16601.39</v>
      </c>
    </row>
    <row r="86" customFormat="false" ht="14.25" hidden="false" customHeight="true" outlineLevel="0" collapsed="false">
      <c r="A86" s="67" t="n">
        <v>45323</v>
      </c>
      <c r="D86" s="68" t="n">
        <v>45323</v>
      </c>
      <c r="E86" s="68"/>
      <c r="F86" s="68"/>
      <c r="G86" s="60" t="n">
        <v>16934</v>
      </c>
    </row>
    <row r="87" customFormat="false" ht="14.25" hidden="false" customHeight="true" outlineLevel="0" collapsed="false">
      <c r="A87" s="67" t="n">
        <v>45352</v>
      </c>
      <c r="D87" s="68" t="n">
        <v>45352</v>
      </c>
      <c r="E87" s="68"/>
      <c r="F87" s="68"/>
      <c r="G87" s="60" t="n">
        <v>12419.74</v>
      </c>
    </row>
    <row r="88" customFormat="false" ht="14.25" hidden="false" customHeight="true" outlineLevel="0" collapsed="false">
      <c r="A88" s="67" t="n">
        <v>45383</v>
      </c>
      <c r="D88" s="68" t="n">
        <v>45383</v>
      </c>
      <c r="E88" s="68"/>
      <c r="F88" s="68"/>
      <c r="G88" s="60" t="n">
        <v>10948.47</v>
      </c>
    </row>
    <row r="89" customFormat="false" ht="14.25" hidden="false" customHeight="true" outlineLevel="0" collapsed="false">
      <c r="A89" s="67" t="n">
        <v>45413</v>
      </c>
      <c r="D89" s="68" t="n">
        <v>45413</v>
      </c>
      <c r="E89" s="68"/>
      <c r="F89" s="68"/>
      <c r="G89" s="60" t="n">
        <v>12868.58</v>
      </c>
    </row>
    <row r="90" customFormat="false" ht="14.25" hidden="false" customHeight="true" outlineLevel="0" collapsed="false">
      <c r="A90" s="67" t="n">
        <v>45444</v>
      </c>
      <c r="D90" s="68" t="n">
        <v>45444</v>
      </c>
      <c r="E90" s="68"/>
      <c r="F90" s="68"/>
      <c r="G90" s="60" t="n">
        <v>11473.9</v>
      </c>
    </row>
    <row r="91" customFormat="false" ht="14.25" hidden="false" customHeight="true" outlineLevel="0" collapsed="false">
      <c r="A91" s="67" t="n">
        <v>45474</v>
      </c>
      <c r="D91" s="68" t="n">
        <v>45474</v>
      </c>
      <c r="E91" s="68"/>
      <c r="F91" s="68"/>
      <c r="G91" s="60" t="n">
        <v>19396.73</v>
      </c>
    </row>
    <row r="92" customFormat="false" ht="14.25" hidden="false" customHeight="true" outlineLevel="0" collapsed="false">
      <c r="A92" s="67" t="n">
        <v>45505</v>
      </c>
      <c r="D92" s="68" t="n">
        <v>45505</v>
      </c>
      <c r="E92" s="68"/>
      <c r="F92" s="68"/>
      <c r="G92" s="60" t="n">
        <v>13651.04</v>
      </c>
    </row>
    <row r="93" customFormat="false" ht="14.25" hidden="false" customHeight="true" outlineLevel="0" collapsed="false">
      <c r="A93" s="67" t="n">
        <v>45536</v>
      </c>
      <c r="D93" s="68" t="n">
        <v>45536</v>
      </c>
      <c r="E93" s="68"/>
      <c r="F93" s="68"/>
      <c r="G93" s="60" t="n">
        <v>15277.15</v>
      </c>
    </row>
    <row r="94" customFormat="false" ht="14.25" hidden="false" customHeight="true" outlineLevel="0" collapsed="false">
      <c r="A94" s="67" t="n">
        <v>45566</v>
      </c>
      <c r="D94" s="68" t="n">
        <v>45566</v>
      </c>
      <c r="E94" s="68"/>
      <c r="F94" s="68"/>
      <c r="G94" s="60" t="n">
        <v>15523.99</v>
      </c>
    </row>
    <row r="95" customFormat="false" ht="14.25" hidden="false" customHeight="true" outlineLevel="0" collapsed="false">
      <c r="A95" s="67" t="n">
        <v>45597</v>
      </c>
      <c r="B95" s="60" t="n">
        <f aca="false">B53*F121</f>
        <v>6399.39965</v>
      </c>
      <c r="D95" s="68" t="n">
        <v>45597</v>
      </c>
      <c r="E95" s="68"/>
      <c r="F95" s="68"/>
      <c r="G95" s="60" t="n">
        <v>19751.41</v>
      </c>
    </row>
    <row r="96" customFormat="false" ht="14.25" hidden="false" customHeight="true" outlineLevel="0" collapsed="false">
      <c r="A96" s="67" t="n">
        <v>45627</v>
      </c>
      <c r="B96" s="60" t="n">
        <f aca="false">B54*F122</f>
        <v>4267.03354</v>
      </c>
      <c r="D96" s="68" t="n">
        <v>45627</v>
      </c>
      <c r="E96" s="68"/>
      <c r="F96" s="68"/>
      <c r="G96" s="60" t="n">
        <v>17063.94</v>
      </c>
    </row>
    <row r="97" customFormat="false" ht="14.25" hidden="false" customHeight="true" outlineLevel="0" collapsed="false">
      <c r="A97" s="67" t="n">
        <v>45658</v>
      </c>
      <c r="B97" s="60" t="n">
        <f aca="false">B55*F123</f>
        <v>5732.62385</v>
      </c>
      <c r="D97" s="68" t="n">
        <v>45658</v>
      </c>
      <c r="E97" s="68"/>
      <c r="F97" s="68"/>
      <c r="G97" s="60" t="n">
        <v>20875.39</v>
      </c>
    </row>
    <row r="98" customFormat="false" ht="14.25" hidden="false" customHeight="true" outlineLevel="0" collapsed="false">
      <c r="A98" s="67" t="n">
        <v>45689</v>
      </c>
      <c r="B98" s="60" t="n">
        <f aca="false">B56*F124</f>
        <v>5950.81454</v>
      </c>
      <c r="D98" s="68" t="n">
        <v>45689</v>
      </c>
      <c r="E98" s="68"/>
      <c r="F98" s="68"/>
      <c r="G98" s="60" t="n">
        <v>20173.7</v>
      </c>
    </row>
    <row r="99" customFormat="false" ht="14.25" hidden="false" customHeight="true" outlineLevel="0" collapsed="false">
      <c r="A99" s="67" t="n">
        <v>45717</v>
      </c>
      <c r="B99" s="60" t="n">
        <f aca="false">B57*F125</f>
        <v>5955.14634</v>
      </c>
      <c r="D99" s="68" t="n">
        <v>45717</v>
      </c>
      <c r="E99" s="68"/>
      <c r="F99" s="68"/>
      <c r="G99" s="60" t="n">
        <v>16648.58</v>
      </c>
    </row>
    <row r="100" customFormat="false" ht="14.25" hidden="false" customHeight="true" outlineLevel="0" collapsed="false">
      <c r="A100" s="67" t="n">
        <v>45748</v>
      </c>
      <c r="B100" s="60" t="n">
        <f aca="false">B58*F126</f>
        <v>4299.56541</v>
      </c>
      <c r="D100" s="68" t="n">
        <v>45748</v>
      </c>
      <c r="E100" s="68"/>
      <c r="F100" s="68"/>
      <c r="G100" s="60" t="n">
        <v>10956.7</v>
      </c>
    </row>
    <row r="101" customFormat="false" ht="14.25" hidden="false" customHeight="true" outlineLevel="0" collapsed="false">
      <c r="A101" s="67" t="n">
        <v>45778</v>
      </c>
      <c r="B101" s="60" t="n">
        <f aca="false">B59*F127</f>
        <v>2471.987125</v>
      </c>
      <c r="D101" s="68" t="n">
        <v>45778</v>
      </c>
      <c r="E101" s="68"/>
      <c r="F101" s="68"/>
      <c r="G101" s="60" t="n">
        <v>7932.95</v>
      </c>
    </row>
    <row r="102" customFormat="false" ht="14.25" hidden="false" customHeight="true" outlineLevel="0" collapsed="false">
      <c r="A102" s="67" t="n">
        <v>45809</v>
      </c>
      <c r="B102" s="60" t="n">
        <f aca="false">B60*F128</f>
        <v>3399.83855</v>
      </c>
      <c r="D102" s="68" t="n">
        <v>45809</v>
      </c>
      <c r="E102" s="68"/>
      <c r="F102" s="68"/>
      <c r="G102" s="60" t="n">
        <v>11949.42</v>
      </c>
    </row>
    <row r="103" customFormat="false" ht="14.25" hidden="false" customHeight="true" outlineLevel="0" collapsed="false">
      <c r="A103" s="67" t="n">
        <v>45839</v>
      </c>
      <c r="B103" s="60" t="n">
        <f aca="false">B61*F129</f>
        <v>4075.6684</v>
      </c>
      <c r="D103" s="68" t="n">
        <v>45839</v>
      </c>
      <c r="E103" s="68"/>
      <c r="F103" s="68"/>
      <c r="G103" s="60" t="n">
        <v>15262.33</v>
      </c>
    </row>
    <row r="104" customFormat="false" ht="14.25" hidden="false" customHeight="true" outlineLevel="0" collapsed="false">
      <c r="A104" s="67" t="n">
        <v>45870</v>
      </c>
      <c r="B104" s="60" t="n">
        <f aca="false">B62*F130</f>
        <v>943.553299999998</v>
      </c>
      <c r="D104" s="68" t="n">
        <v>45870</v>
      </c>
      <c r="E104" s="68"/>
      <c r="F104" s="68"/>
      <c r="G104" s="60" t="n">
        <v>5768.63</v>
      </c>
    </row>
    <row r="105" customFormat="false" ht="14.25" hidden="false" customHeight="true" outlineLevel="0" collapsed="false">
      <c r="A105" s="67" t="n">
        <v>45901</v>
      </c>
      <c r="B105" s="60" t="n">
        <f aca="false">B63*F131</f>
        <v>3614.05352</v>
      </c>
      <c r="D105" s="68" t="n">
        <v>45901</v>
      </c>
      <c r="E105" s="68"/>
      <c r="F105" s="68"/>
      <c r="G105" s="60" t="n">
        <v>12897.86</v>
      </c>
    </row>
    <row r="106" customFormat="false" ht="14.25" hidden="false" customHeight="true" outlineLevel="0" collapsed="false">
      <c r="A106" s="67" t="n">
        <v>45931</v>
      </c>
      <c r="B106" s="60" t="n">
        <f aca="false">B64*F132</f>
        <v>2786.995464</v>
      </c>
      <c r="D106" s="68" t="n">
        <v>45931</v>
      </c>
      <c r="E106" s="68"/>
      <c r="F106" s="68"/>
      <c r="G106" s="60" t="n">
        <v>13101.09</v>
      </c>
    </row>
    <row r="107" customFormat="false" ht="14.25" hidden="false" customHeight="true" outlineLevel="0" collapsed="false">
      <c r="A107" s="67" t="n">
        <v>45962</v>
      </c>
      <c r="B107" s="69" t="n">
        <f aca="false">B65*F133</f>
        <v>2947.333333</v>
      </c>
      <c r="D107" s="68" t="n">
        <v>45962</v>
      </c>
      <c r="E107" s="68"/>
      <c r="F107" s="68"/>
      <c r="G107" s="60" t="n">
        <v>14793.67</v>
      </c>
    </row>
    <row r="108" customFormat="false" ht="14.25" hidden="false" customHeight="true" outlineLevel="0" collapsed="false">
      <c r="A108" s="67" t="n">
        <v>46204</v>
      </c>
      <c r="B108" s="69" t="n">
        <f aca="false">B66*F134</f>
        <v>0</v>
      </c>
      <c r="D108" s="68" t="n">
        <v>46204</v>
      </c>
      <c r="E108" s="68"/>
      <c r="F108" s="68"/>
      <c r="G108" s="70"/>
    </row>
    <row r="109" customFormat="false" ht="14.25" hidden="false" customHeight="true" outlineLevel="0" collapsed="false">
      <c r="A109" s="42"/>
      <c r="B109" s="60"/>
    </row>
    <row r="110" customFormat="false" ht="14.25" hidden="false" customHeight="true" outlineLevel="0" collapsed="false">
      <c r="A110" s="71" t="s">
        <v>90</v>
      </c>
      <c r="B110" s="71"/>
      <c r="D110" s="71" t="s">
        <v>91</v>
      </c>
      <c r="E110" s="71"/>
      <c r="F110" s="71"/>
      <c r="G110" s="71"/>
    </row>
    <row r="111" customFormat="false" ht="14.25" hidden="false" customHeight="true" outlineLevel="0" collapsed="false">
      <c r="A111" s="63" t="n">
        <v>45292</v>
      </c>
      <c r="B111" s="0" t="n">
        <v>64934</v>
      </c>
      <c r="D111" s="63" t="n">
        <v>45292</v>
      </c>
      <c r="F111" s="72" t="n">
        <v>0.2557</v>
      </c>
    </row>
    <row r="112" customFormat="false" ht="14.25" hidden="false" customHeight="true" outlineLevel="0" collapsed="false">
      <c r="A112" s="63" t="n">
        <v>45323</v>
      </c>
      <c r="B112" s="0" t="n">
        <v>71197</v>
      </c>
      <c r="D112" s="63" t="n">
        <v>45323</v>
      </c>
      <c r="F112" s="72" t="n">
        <v>0.2378</v>
      </c>
    </row>
    <row r="113" customFormat="false" ht="14.25" hidden="false" customHeight="true" outlineLevel="0" collapsed="false">
      <c r="A113" s="63" t="n">
        <v>45352</v>
      </c>
      <c r="B113" s="0" t="n">
        <v>51152</v>
      </c>
      <c r="D113" s="63" t="n">
        <v>45352</v>
      </c>
      <c r="F113" s="72" t="n">
        <v>0.2428</v>
      </c>
    </row>
    <row r="114" customFormat="false" ht="14.25" hidden="false" customHeight="true" outlineLevel="0" collapsed="false">
      <c r="A114" s="63" t="n">
        <v>45383</v>
      </c>
      <c r="B114" s="0" t="n">
        <v>45316</v>
      </c>
      <c r="D114" s="63" t="n">
        <v>45383</v>
      </c>
      <c r="F114" s="72" t="n">
        <v>0.2416</v>
      </c>
    </row>
    <row r="115" customFormat="false" ht="14.25" hidden="false" customHeight="true" outlineLevel="0" collapsed="false">
      <c r="A115" s="63" t="n">
        <v>45413</v>
      </c>
      <c r="B115" s="0" t="n">
        <v>51330</v>
      </c>
      <c r="D115" s="63" t="n">
        <v>45413</v>
      </c>
      <c r="F115" s="72" t="n">
        <v>0.2507</v>
      </c>
    </row>
    <row r="116" customFormat="false" ht="14.25" hidden="false" customHeight="true" outlineLevel="0" collapsed="false">
      <c r="A116" s="63" t="n">
        <v>45444</v>
      </c>
      <c r="B116" s="0" t="n">
        <v>42151</v>
      </c>
      <c r="D116" s="63" t="n">
        <v>45444</v>
      </c>
      <c r="F116" s="72" t="n">
        <v>0.2722</v>
      </c>
    </row>
    <row r="117" customFormat="false" ht="14.25" hidden="false" customHeight="true" outlineLevel="0" collapsed="false">
      <c r="A117" s="63" t="n">
        <v>45474</v>
      </c>
      <c r="B117" s="0" t="n">
        <v>67581</v>
      </c>
      <c r="D117" s="63" t="n">
        <v>45474</v>
      </c>
      <c r="F117" s="72" t="n">
        <v>0.287</v>
      </c>
    </row>
    <row r="118" customFormat="false" ht="14.25" hidden="false" customHeight="true" outlineLevel="0" collapsed="false">
      <c r="A118" s="63" t="n">
        <v>45505</v>
      </c>
      <c r="B118" s="0" t="n">
        <v>44796</v>
      </c>
      <c r="D118" s="63" t="n">
        <v>45505</v>
      </c>
      <c r="F118" s="72" t="n">
        <v>0.3047</v>
      </c>
    </row>
    <row r="119" customFormat="false" ht="14.25" hidden="false" customHeight="true" outlineLevel="0" collapsed="false">
      <c r="A119" s="63" t="n">
        <v>45536</v>
      </c>
      <c r="B119" s="0" t="n">
        <v>52599</v>
      </c>
      <c r="D119" s="63" t="n">
        <v>45536</v>
      </c>
      <c r="F119" s="72" t="n">
        <v>0.2904</v>
      </c>
    </row>
    <row r="120" customFormat="false" ht="14.25" hidden="false" customHeight="true" outlineLevel="0" collapsed="false">
      <c r="A120" s="63" t="n">
        <v>45566</v>
      </c>
      <c r="B120" s="0" t="n">
        <v>54362</v>
      </c>
      <c r="D120" s="63" t="n">
        <v>45566</v>
      </c>
      <c r="F120" s="72" t="n">
        <v>0.2856</v>
      </c>
    </row>
    <row r="121" customFormat="false" ht="14.25" hidden="false" customHeight="true" outlineLevel="0" collapsed="false">
      <c r="A121" s="63" t="n">
        <v>45597</v>
      </c>
      <c r="B121" s="0" t="n">
        <v>64157</v>
      </c>
      <c r="D121" s="63" t="n">
        <v>45597</v>
      </c>
      <c r="F121" s="72" t="n">
        <v>0.307</v>
      </c>
    </row>
    <row r="122" customFormat="false" ht="14.25" hidden="false" customHeight="true" outlineLevel="0" collapsed="false">
      <c r="A122" s="63" t="n">
        <v>45627</v>
      </c>
      <c r="B122" s="0" t="n">
        <v>51593</v>
      </c>
      <c r="D122" s="63" t="n">
        <v>45627</v>
      </c>
      <c r="F122" s="72" t="n">
        <v>0.331</v>
      </c>
      <c r="L122" s="60"/>
      <c r="M122" s="60"/>
    </row>
    <row r="123" customFormat="false" ht="14.25" hidden="false" customHeight="true" outlineLevel="0" collapsed="false">
      <c r="A123" s="63" t="n">
        <v>45658</v>
      </c>
      <c r="B123" s="0" t="n">
        <v>61904</v>
      </c>
      <c r="D123" s="63" t="n">
        <v>45658</v>
      </c>
      <c r="F123" s="72" t="n">
        <v>0.335</v>
      </c>
    </row>
    <row r="124" customFormat="false" ht="14.25" hidden="false" customHeight="true" outlineLevel="0" collapsed="false">
      <c r="A124" s="63" t="n">
        <v>45689</v>
      </c>
      <c r="B124" s="0" t="n">
        <v>60366</v>
      </c>
      <c r="D124" s="63" t="n">
        <v>45689</v>
      </c>
      <c r="F124" s="72" t="n">
        <v>0.334</v>
      </c>
    </row>
    <row r="125" customFormat="false" ht="14.25" hidden="false" customHeight="true" outlineLevel="0" collapsed="false">
      <c r="A125" s="63" t="n">
        <v>45717</v>
      </c>
      <c r="B125" s="0" t="n">
        <v>58209</v>
      </c>
      <c r="D125" s="63" t="n">
        <v>45717</v>
      </c>
      <c r="F125" s="72" t="n">
        <v>0.286</v>
      </c>
      <c r="G125" s="73"/>
    </row>
    <row r="126" customFormat="false" ht="14.25" hidden="false" customHeight="true" outlineLevel="0" collapsed="false">
      <c r="A126" s="63" t="n">
        <v>45748</v>
      </c>
      <c r="B126" s="0" t="n">
        <v>41269</v>
      </c>
      <c r="D126" s="63" t="n">
        <v>45748</v>
      </c>
      <c r="F126" s="72" t="n">
        <v>0.2655</v>
      </c>
      <c r="G126" s="73"/>
    </row>
    <row r="127" customFormat="false" ht="14.25" hidden="false" customHeight="true" outlineLevel="0" collapsed="false">
      <c r="A127" s="63" t="n">
        <v>45778</v>
      </c>
      <c r="B127" s="0" t="n">
        <v>30809</v>
      </c>
      <c r="D127" s="63" t="n">
        <v>45778</v>
      </c>
      <c r="F127" s="72" t="n">
        <v>0.2575</v>
      </c>
      <c r="G127" s="73"/>
    </row>
    <row r="128" customFormat="false" ht="14.25" hidden="false" customHeight="true" outlineLevel="0" collapsed="false">
      <c r="A128" s="63" t="n">
        <v>45809</v>
      </c>
      <c r="B128" s="0" t="n">
        <v>33644</v>
      </c>
      <c r="D128" s="63" t="n">
        <v>45809</v>
      </c>
      <c r="F128" s="72" t="n">
        <v>0.355</v>
      </c>
      <c r="G128" s="73"/>
    </row>
    <row r="129" customFormat="false" ht="14.25" hidden="false" customHeight="true" outlineLevel="0" collapsed="false">
      <c r="A129" s="63" t="n">
        <v>45839</v>
      </c>
      <c r="B129" s="0" t="n">
        <v>51483</v>
      </c>
      <c r="D129" s="63" t="n">
        <v>45839</v>
      </c>
      <c r="F129" s="72" t="n">
        <v>0.296</v>
      </c>
      <c r="G129" s="73"/>
    </row>
    <row r="130" customFormat="false" ht="14.25" hidden="false" customHeight="true" outlineLevel="0" collapsed="false">
      <c r="A130" s="63" t="n">
        <v>45870</v>
      </c>
      <c r="B130" s="0" t="n">
        <v>17650</v>
      </c>
      <c r="D130" s="63" t="n">
        <v>45870</v>
      </c>
      <c r="F130" s="72" t="n">
        <v>0.3268</v>
      </c>
    </row>
    <row r="131" customFormat="false" ht="14.25" hidden="false" customHeight="true" outlineLevel="0" collapsed="false">
      <c r="A131" s="63" t="n">
        <v>45901</v>
      </c>
      <c r="B131" s="0" t="n">
        <v>47214</v>
      </c>
      <c r="D131" s="63" t="n">
        <v>45901</v>
      </c>
      <c r="F131" s="72" t="n">
        <v>0.2732</v>
      </c>
      <c r="G131" s="60"/>
      <c r="H131" s="60"/>
      <c r="I131" s="60"/>
      <c r="J131" s="60"/>
      <c r="K131" s="60"/>
    </row>
    <row r="132" customFormat="false" ht="14.25" hidden="false" customHeight="true" outlineLevel="0" collapsed="false">
      <c r="A132" s="63" t="n">
        <v>45931</v>
      </c>
      <c r="B132" s="0" t="n">
        <v>47533</v>
      </c>
      <c r="D132" s="63" t="n">
        <v>45931</v>
      </c>
      <c r="F132" s="72" t="n">
        <v>0.2134</v>
      </c>
      <c r="G132" s="60"/>
      <c r="H132" s="60"/>
      <c r="I132" s="60"/>
      <c r="J132" s="60"/>
      <c r="K132" s="60"/>
    </row>
    <row r="133" customFormat="false" ht="14.25" hidden="false" customHeight="true" outlineLevel="0" collapsed="false">
      <c r="A133" s="63" t="n">
        <v>45962</v>
      </c>
      <c r="B133" s="0" t="n">
        <v>50662</v>
      </c>
      <c r="D133" s="63" t="n">
        <v>45962</v>
      </c>
      <c r="F133" s="72" t="n">
        <v>0.2261</v>
      </c>
      <c r="G133" s="60"/>
    </row>
    <row r="134" customFormat="false" ht="14.25" hidden="false" customHeight="true" outlineLevel="0" collapsed="false">
      <c r="A134" s="63" t="n">
        <v>46204</v>
      </c>
      <c r="B134" s="65"/>
      <c r="D134" s="63" t="n">
        <v>46204</v>
      </c>
      <c r="F134" s="74"/>
    </row>
    <row r="135" customFormat="false" ht="14.25" hidden="false" customHeight="true" outlineLevel="0" collapsed="false">
      <c r="C135" s="73"/>
      <c r="D135" s="42"/>
      <c r="E135" s="60"/>
    </row>
    <row r="136" customFormat="false" ht="14.25" hidden="false" customHeight="true" outlineLevel="0" collapsed="false">
      <c r="C136" s="73"/>
      <c r="D136" s="42"/>
      <c r="E136" s="60"/>
    </row>
    <row r="137" customFormat="false" ht="14.25" hidden="false" customHeight="true" outlineLevel="0" collapsed="false">
      <c r="C137" s="73"/>
      <c r="D137" s="42"/>
      <c r="E137" s="60"/>
    </row>
    <row r="138" customFormat="false" ht="14.25" hidden="false" customHeight="true" outlineLevel="0" collapsed="false">
      <c r="C138" s="73"/>
      <c r="D138" s="42"/>
      <c r="E138" s="60"/>
    </row>
    <row r="139" customFormat="false" ht="14.25" hidden="false" customHeight="true" outlineLevel="0" collapsed="false">
      <c r="C139" s="73"/>
      <c r="D139" s="42"/>
      <c r="E139" s="60"/>
    </row>
    <row r="140" customFormat="false" ht="14.25" hidden="false" customHeight="true" outlineLevel="0" collapsed="false">
      <c r="C140" s="73"/>
      <c r="D140" s="42"/>
      <c r="E140" s="60"/>
    </row>
    <row r="152" customFormat="false" ht="14.25" hidden="false" customHeight="true" outlineLevel="0" collapsed="false">
      <c r="E152" s="60"/>
    </row>
    <row r="153" customFormat="false" ht="14.25" hidden="false" customHeight="true" outlineLevel="0" collapsed="false">
      <c r="E153" s="60"/>
    </row>
  </sheetData>
  <mergeCells count="50">
    <mergeCell ref="C51:C52"/>
    <mergeCell ref="E51:E52"/>
    <mergeCell ref="F51:F52"/>
    <mergeCell ref="G51:G52"/>
    <mergeCell ref="H51:H52"/>
    <mergeCell ref="I51:I52"/>
    <mergeCell ref="J51:J52"/>
    <mergeCell ref="K51:K52"/>
    <mergeCell ref="D68:G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4:G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A110:B110"/>
    <mergeCell ref="D110:G1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6" style="0" width="21"/>
  </cols>
  <sheetData>
    <row r="1" customFormat="false" ht="15.75" hidden="false" customHeight="true" outlineLevel="0" collapsed="false"/>
    <row r="2" customFormat="false" ht="15.75" hidden="false" customHeight="true" outlineLevel="0" collapsed="false">
      <c r="B2" s="75" t="s">
        <v>92</v>
      </c>
      <c r="C2" s="76" t="s">
        <v>93</v>
      </c>
      <c r="D2" s="76" t="s">
        <v>94</v>
      </c>
      <c r="E2" s="76" t="s">
        <v>95</v>
      </c>
      <c r="F2" s="77" t="s">
        <v>96</v>
      </c>
    </row>
    <row r="3" customFormat="false" ht="15" hidden="false" customHeight="false" outlineLevel="0" collapsed="false">
      <c r="B3" s="78" t="s">
        <v>97</v>
      </c>
      <c r="C3" s="0" t="n">
        <v>187</v>
      </c>
      <c r="D3" s="0" t="n">
        <v>18</v>
      </c>
      <c r="E3" s="79" t="n">
        <f aca="false">C3/18*30</f>
        <v>311.666666666667</v>
      </c>
      <c r="F3" s="80" t="n">
        <f aca="false">E3*200</f>
        <v>62333.3333333333</v>
      </c>
    </row>
    <row r="4" customFormat="false" ht="15.75" hidden="false" customHeight="true" outlineLevel="0" collapsed="false">
      <c r="B4" s="81" t="s">
        <v>98</v>
      </c>
      <c r="C4" s="82" t="n">
        <v>212</v>
      </c>
      <c r="D4" s="82" t="n">
        <v>31</v>
      </c>
      <c r="E4" s="83" t="n">
        <v>212</v>
      </c>
      <c r="F4" s="84" t="n">
        <f aca="false">E4*200</f>
        <v>42400</v>
      </c>
    </row>
    <row r="5" customFormat="false" ht="15.75" hidden="false" customHeight="true" outlineLevel="0" collapsed="false">
      <c r="B5" s="81" t="s">
        <v>99</v>
      </c>
      <c r="C5" s="82" t="n">
        <v>212</v>
      </c>
      <c r="D5" s="82" t="n">
        <v>31</v>
      </c>
      <c r="E5" s="83"/>
      <c r="F5" s="84" t="n">
        <v>29455</v>
      </c>
    </row>
    <row r="6" customFormat="false" ht="15.75" hidden="false" customHeight="true" outlineLevel="0" collapsed="false">
      <c r="B6" s="81" t="s">
        <v>100</v>
      </c>
      <c r="C6" s="82"/>
      <c r="D6" s="82"/>
      <c r="E6" s="83"/>
      <c r="F6" s="84" t="n">
        <v>52438</v>
      </c>
    </row>
    <row r="7" customFormat="false" ht="15.75" hidden="false" customHeight="true" outlineLevel="0" collapsed="false">
      <c r="B7" s="81" t="s">
        <v>101</v>
      </c>
      <c r="C7" s="82"/>
      <c r="D7" s="82"/>
      <c r="E7" s="83"/>
      <c r="F7" s="84" t="n">
        <v>49294</v>
      </c>
    </row>
    <row r="8" customFormat="false" ht="15.75" hidden="false" customHeight="true" outlineLevel="0" collapsed="false">
      <c r="B8" s="81" t="s">
        <v>102</v>
      </c>
      <c r="C8" s="82"/>
      <c r="D8" s="82"/>
      <c r="E8" s="83"/>
      <c r="F8" s="84" t="n">
        <v>33348</v>
      </c>
    </row>
    <row r="9" customFormat="false" ht="15.75" hidden="false" customHeight="true" outlineLevel="0" collapsed="false">
      <c r="B9" s="81" t="s">
        <v>103</v>
      </c>
      <c r="C9" s="82"/>
      <c r="D9" s="82"/>
      <c r="E9" s="83"/>
      <c r="F9" s="84" t="n">
        <v>24027</v>
      </c>
    </row>
    <row r="10" customFormat="false" ht="15.75" hidden="false" customHeight="true" outlineLevel="0" collapsed="false">
      <c r="B10" s="81" t="s">
        <v>104</v>
      </c>
      <c r="C10" s="82"/>
      <c r="D10" s="82"/>
      <c r="E10" s="83"/>
      <c r="F10" s="84" t="n">
        <v>33661</v>
      </c>
    </row>
    <row r="11" customFormat="false" ht="15.75" hidden="false" customHeight="true" outlineLevel="0" collapsed="false">
      <c r="B11" s="81" t="s">
        <v>105</v>
      </c>
      <c r="C11" s="82"/>
      <c r="D11" s="82"/>
      <c r="E11" s="83"/>
      <c r="F11" s="84" t="n">
        <v>42155</v>
      </c>
    </row>
    <row r="12" customFormat="false" ht="15.75" hidden="false" customHeight="true" outlineLevel="0" collapsed="false">
      <c r="B12" s="81" t="s">
        <v>106</v>
      </c>
      <c r="C12" s="82"/>
      <c r="D12" s="82"/>
      <c r="E12" s="83"/>
      <c r="F12" s="84" t="n">
        <v>13595</v>
      </c>
    </row>
    <row r="13" customFormat="false" ht="15.75" hidden="false" customHeight="true" outlineLevel="0" collapsed="false">
      <c r="B13" s="81" t="s">
        <v>107</v>
      </c>
      <c r="C13" s="82"/>
      <c r="D13" s="82"/>
      <c r="E13" s="83"/>
      <c r="F13" s="84" t="n">
        <v>38632</v>
      </c>
    </row>
    <row r="14" customFormat="false" ht="15" hidden="false" customHeight="false" outlineLevel="0" collapsed="false">
      <c r="B14" s="81" t="s">
        <v>108</v>
      </c>
      <c r="C14" s="82"/>
      <c r="D14" s="82"/>
      <c r="E14" s="83"/>
      <c r="F14" s="84" t="n">
        <v>39250</v>
      </c>
    </row>
    <row r="15" customFormat="false" ht="15" hidden="false" customHeight="false" outlineLevel="0" collapsed="false">
      <c r="B15" s="81" t="s">
        <v>97</v>
      </c>
      <c r="C15" s="82"/>
      <c r="D15" s="82"/>
      <c r="E15" s="83"/>
      <c r="F15" s="84" t="n">
        <v>42959</v>
      </c>
    </row>
    <row r="16" customFormat="false" ht="15" hidden="false" customHeight="false" outlineLevel="0" collapsed="false">
      <c r="B16" s="81" t="s">
        <v>105</v>
      </c>
      <c r="C16" s="82"/>
      <c r="D16" s="82"/>
      <c r="E16" s="83"/>
      <c r="F16" s="8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2025-09-02T19:47:31Z</dcterms:created>
  <dc:creator>Federico Rosi</dc:creator>
  <dc:description/>
  <dc:language>it-IT</dc:language>
  <cp:lastModifiedBy/>
  <dcterms:modified xsi:type="dcterms:W3CDTF">2026-09-11T14:46:28Z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